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SQL/"/>
    </mc:Choice>
  </mc:AlternateContent>
  <xr:revisionPtr revIDLastSave="0" documentId="8_{8FBAFED9-8A0A-4E68-8BF7-31A03466171A}" xr6:coauthVersionLast="47" xr6:coauthVersionMax="47" xr10:uidLastSave="{00000000-0000-0000-0000-000000000000}"/>
  <bookViews>
    <workbookView xWindow="-17160" yWindow="-93" windowWidth="17253" windowHeight="9786" firstSheet="4" activeTab="4" xr2:uid="{30484135-C3F6-4EA1-AB6C-FA71C53E08E8}"/>
  </bookViews>
  <sheets>
    <sheet name="Customers" sheetId="5" r:id="rId1"/>
    <sheet name="Orders" sheetId="3" r:id="rId2"/>
    <sheet name="Order_Product" sheetId="6" r:id="rId3"/>
    <sheet name="Product" sheetId="7" r:id="rId4"/>
    <sheet name="Flat File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8" l="1" a="1"/>
  <c r="I2" i="8" s="1"/>
  <c r="I6" i="8" a="1"/>
  <c r="I6" i="8" s="1"/>
  <c r="I8" i="8" a="1"/>
  <c r="I8" i="8" s="1"/>
  <c r="I13" i="8" a="1"/>
  <c r="I13" i="8" s="1"/>
  <c r="I17" i="8" a="1"/>
  <c r="I17" i="8" s="1"/>
  <c r="I20" i="8" a="1"/>
  <c r="I20" i="8" s="1"/>
  <c r="I23" i="8" a="1"/>
  <c r="I23" i="8" s="1"/>
  <c r="I24" i="8" a="1"/>
  <c r="I24" i="8" s="1"/>
  <c r="I29" i="8" a="1"/>
  <c r="I29" i="8" s="1"/>
  <c r="I33" i="8" a="1"/>
  <c r="I33" i="8" s="1"/>
  <c r="I34" i="8" a="1"/>
  <c r="I34" i="8" s="1"/>
  <c r="I37" i="8" a="1"/>
  <c r="I37" i="8" s="1"/>
  <c r="I40" i="8" a="1"/>
  <c r="I40" i="8" s="1"/>
  <c r="I44" i="8" a="1"/>
  <c r="I44" i="8" s="1"/>
  <c r="I47" i="8" a="1"/>
  <c r="I47" i="8" s="1"/>
  <c r="I51" i="8" a="1"/>
  <c r="I51" i="8" s="1"/>
  <c r="I53" i="8" a="1"/>
  <c r="I53" i="8" s="1"/>
  <c r="I55" i="8" a="1"/>
  <c r="I55" i="8" s="1"/>
  <c r="I56" i="8" a="1"/>
  <c r="I56" i="8" s="1"/>
  <c r="I57" i="8" a="1"/>
  <c r="I57" i="8" s="1"/>
  <c r="I59" i="8" a="1"/>
  <c r="I59" i="8" s="1"/>
  <c r="I60" i="8" a="1"/>
  <c r="I60" i="8" s="1"/>
  <c r="I63" i="8" a="1"/>
  <c r="I63" i="8" s="1"/>
  <c r="I66" i="8" a="1"/>
  <c r="I66" i="8" s="1"/>
  <c r="I69" i="8" a="1"/>
  <c r="I69" i="8" s="1"/>
  <c r="I72" i="8" a="1"/>
  <c r="I72" i="8" s="1"/>
  <c r="I73" i="8" a="1"/>
  <c r="I73" i="8" s="1"/>
  <c r="I75" i="8" a="1"/>
  <c r="I75" i="8" s="1"/>
  <c r="I78" i="8" a="1"/>
  <c r="I78" i="8" s="1"/>
  <c r="I83" i="8" a="1"/>
  <c r="I83" i="8" s="1"/>
  <c r="I86" i="8" a="1"/>
  <c r="I86" i="8" s="1"/>
  <c r="I88" i="8" a="1"/>
  <c r="I88" i="8" s="1"/>
  <c r="I92" i="8" a="1"/>
  <c r="I92" i="8" s="1"/>
  <c r="I95" i="8" a="1"/>
  <c r="I95" i="8" s="1"/>
  <c r="I97" i="8" a="1"/>
  <c r="I97" i="8" s="1"/>
  <c r="I100" i="8" a="1"/>
  <c r="I100" i="8" s="1"/>
  <c r="I103" i="8" a="1"/>
  <c r="I103" i="8" s="1"/>
  <c r="I105" i="8" a="1"/>
  <c r="I105" i="8" s="1"/>
  <c r="I106" i="8" a="1"/>
  <c r="I106" i="8" s="1"/>
  <c r="I108" i="8" a="1"/>
  <c r="I108" i="8" s="1"/>
  <c r="I110" i="8" a="1"/>
  <c r="I110" i="8" s="1"/>
  <c r="I111" i="8" a="1"/>
  <c r="I111" i="8" s="1"/>
  <c r="I114" i="8" a="1"/>
  <c r="I114" i="8" s="1"/>
  <c r="I119" i="8" a="1"/>
  <c r="I119" i="8" s="1"/>
  <c r="I122" i="8" a="1"/>
  <c r="I122" i="8" s="1"/>
  <c r="I125" i="8" a="1"/>
  <c r="I125" i="8" s="1"/>
  <c r="I128" i="8" a="1"/>
  <c r="I128" i="8" s="1"/>
  <c r="I130" i="8" a="1"/>
  <c r="I130" i="8" s="1"/>
  <c r="I131" i="8" a="1"/>
  <c r="I131" i="8" s="1"/>
  <c r="I132" i="8" a="1"/>
  <c r="I132" i="8" s="1"/>
  <c r="I7" i="8" a="1"/>
  <c r="I7" i="8" s="1"/>
  <c r="I58" i="8" a="1"/>
  <c r="I58" i="8" s="1"/>
  <c r="I74" i="8" a="1"/>
  <c r="I74" i="8" s="1"/>
  <c r="I87" i="8" a="1"/>
  <c r="I87" i="8" s="1"/>
  <c r="I129" i="8" a="1"/>
  <c r="I129" i="8" s="1"/>
  <c r="I18" i="8" a="1"/>
  <c r="I18" i="8" s="1"/>
  <c r="I38" i="8" a="1"/>
  <c r="I38" i="8" s="1"/>
  <c r="I54" i="8" a="1"/>
  <c r="I54" i="8" s="1"/>
  <c r="I70" i="8" a="1"/>
  <c r="I70" i="8" s="1"/>
  <c r="I76" i="8" a="1"/>
  <c r="I76" i="8" s="1"/>
  <c r="I84" i="8" a="1"/>
  <c r="I84" i="8" s="1"/>
  <c r="I96" i="8" a="1"/>
  <c r="I96" i="8" s="1"/>
  <c r="I98" i="8" a="1"/>
  <c r="I98" i="8" s="1"/>
  <c r="I104" i="8" a="1"/>
  <c r="I104" i="8" s="1"/>
  <c r="I107" i="8" a="1"/>
  <c r="I107" i="8" s="1"/>
  <c r="I109" i="8" a="1"/>
  <c r="I109" i="8" s="1"/>
  <c r="I19" i="8" a="1"/>
  <c r="I19" i="8" s="1"/>
  <c r="I39" i="8" a="1"/>
  <c r="I39" i="8" s="1"/>
  <c r="I52" i="8" a="1"/>
  <c r="I52" i="8" s="1"/>
  <c r="I71" i="8" a="1"/>
  <c r="I71" i="8" s="1"/>
  <c r="I77" i="8" a="1"/>
  <c r="I77" i="8" s="1"/>
  <c r="I85" i="8" a="1"/>
  <c r="I85" i="8" s="1"/>
  <c r="I99" i="8" a="1"/>
  <c r="I99" i="8" s="1"/>
  <c r="I3" i="8" a="1"/>
  <c r="I3" i="8" s="1"/>
  <c r="I14" i="8" a="1"/>
  <c r="I14" i="8" s="1"/>
  <c r="I21" i="8" a="1"/>
  <c r="I21" i="8" s="1"/>
  <c r="I48" i="8" a="1"/>
  <c r="I48" i="8" s="1"/>
  <c r="I64" i="8" a="1"/>
  <c r="I64" i="8" s="1"/>
  <c r="I101" i="8" a="1"/>
  <c r="I101" i="8" s="1"/>
  <c r="I120" i="8" a="1"/>
  <c r="I120" i="8" s="1"/>
  <c r="I4" i="8" a="1"/>
  <c r="I4" i="8" s="1"/>
  <c r="I15" i="8" a="1"/>
  <c r="I15" i="8" s="1"/>
  <c r="I49" i="8" a="1"/>
  <c r="I49" i="8" s="1"/>
  <c r="I93" i="8" a="1"/>
  <c r="I93" i="8" s="1"/>
  <c r="I102" i="8" a="1"/>
  <c r="I102" i="8" s="1"/>
  <c r="I5" i="8" a="1"/>
  <c r="I5" i="8" s="1"/>
  <c r="I16" i="8" a="1"/>
  <c r="I16" i="8" s="1"/>
  <c r="I22" i="8" a="1"/>
  <c r="I22" i="8" s="1"/>
  <c r="I50" i="8" a="1"/>
  <c r="I50" i="8" s="1"/>
  <c r="I65" i="8" a="1"/>
  <c r="I65" i="8" s="1"/>
  <c r="I94" i="8" a="1"/>
  <c r="I94" i="8" s="1"/>
  <c r="I121" i="8" a="1"/>
  <c r="I121" i="8" s="1"/>
  <c r="I9" i="8" a="1"/>
  <c r="I9" i="8"/>
  <c r="I30" i="8" a="1"/>
  <c r="I30" i="8" s="1"/>
  <c r="I35" i="8" a="1"/>
  <c r="I35" i="8" s="1"/>
  <c r="I41" i="8" a="1"/>
  <c r="I41" i="8" s="1"/>
  <c r="I45" i="8" a="1"/>
  <c r="I45" i="8" s="1"/>
  <c r="I89" i="8" a="1"/>
  <c r="I89" i="8" s="1"/>
  <c r="I112" i="8" a="1"/>
  <c r="I112" i="8" s="1"/>
  <c r="I126" i="8" a="1"/>
  <c r="I126" i="8" s="1"/>
  <c r="I10" i="8" a="1"/>
  <c r="I10" i="8" s="1"/>
  <c r="I36" i="8" a="1"/>
  <c r="I36" i="8" s="1"/>
  <c r="I42" i="8" a="1"/>
  <c r="I42" i="8" s="1"/>
  <c r="I46" i="8" a="1"/>
  <c r="I46" i="8" s="1"/>
  <c r="I61" i="8" a="1"/>
  <c r="I61" i="8" s="1"/>
  <c r="I67" i="8" a="1"/>
  <c r="I67" i="8" s="1"/>
  <c r="I90" i="8" a="1"/>
  <c r="I90" i="8" s="1"/>
  <c r="I113" i="8" a="1"/>
  <c r="I113" i="8" s="1"/>
  <c r="I11" i="8" a="1"/>
  <c r="I11" i="8" s="1"/>
  <c r="I31" i="8" a="1"/>
  <c r="I31" i="8" s="1"/>
  <c r="I62" i="8" a="1"/>
  <c r="I62" i="8" s="1"/>
  <c r="I68" i="8" a="1"/>
  <c r="I68" i="8" s="1"/>
  <c r="I12" i="8" a="1"/>
  <c r="I12" i="8" s="1"/>
  <c r="I32" i="8" a="1"/>
  <c r="I32" i="8" s="1"/>
  <c r="I43" i="8" a="1"/>
  <c r="I43" i="8" s="1"/>
  <c r="I91" i="8" a="1"/>
  <c r="I91" i="8" s="1"/>
  <c r="I127" i="8" a="1"/>
  <c r="I127" i="8" s="1"/>
  <c r="I25" i="8" a="1"/>
  <c r="I25" i="8" s="1"/>
  <c r="I79" i="8" a="1"/>
  <c r="I79" i="8" s="1"/>
  <c r="I115" i="8" a="1"/>
  <c r="I115" i="8" s="1"/>
  <c r="I123" i="8" a="1"/>
  <c r="I123" i="8" s="1"/>
  <c r="I26" i="8" a="1"/>
  <c r="I26" i="8" s="1"/>
  <c r="I80" i="8" a="1"/>
  <c r="I80" i="8" s="1"/>
  <c r="I27" i="8" a="1"/>
  <c r="I27" i="8" s="1"/>
  <c r="I81" i="8" a="1"/>
  <c r="I81" i="8" s="1"/>
  <c r="I116" i="8" a="1"/>
  <c r="I116" i="8" s="1"/>
  <c r="I28" i="8" a="1"/>
  <c r="I28" i="8" s="1"/>
  <c r="I117" i="8" a="1"/>
  <c r="I117" i="8" s="1"/>
  <c r="I124" i="8" a="1"/>
  <c r="I124" i="8" s="1"/>
  <c r="I82" i="8" a="1"/>
  <c r="I82" i="8" s="1"/>
  <c r="I118" i="8" a="1"/>
  <c r="I118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<sst xmlns="http://schemas.openxmlformats.org/spreadsheetml/2006/main" count="1264" uniqueCount="62">
  <si>
    <t>CustomerID</t>
  </si>
  <si>
    <t>CustomerName</t>
  </si>
  <si>
    <t>Phone</t>
  </si>
  <si>
    <t>Address</t>
  </si>
  <si>
    <t>City</t>
  </si>
  <si>
    <t>State</t>
  </si>
  <si>
    <t>Zip</t>
  </si>
  <si>
    <t>Country</t>
  </si>
  <si>
    <t>Notes</t>
  </si>
  <si>
    <t>Tres Delicious</t>
  </si>
  <si>
    <t>999-999-9999</t>
  </si>
  <si>
    <t>123 Main Street</t>
  </si>
  <si>
    <t>Seattle</t>
  </si>
  <si>
    <t>WA</t>
  </si>
  <si>
    <t>United States</t>
  </si>
  <si>
    <t>High maintenance, not sure if it's worth having them as a customer, but don't tell them that!</t>
  </si>
  <si>
    <t>ABC Groceries</t>
  </si>
  <si>
    <t>801-583-8695</t>
  </si>
  <si>
    <t>3215 Tori Lane</t>
  </si>
  <si>
    <t>Salt Lake City</t>
  </si>
  <si>
    <t>UT</t>
  </si>
  <si>
    <t>Friendly but a little old school. Talks way too much, set a time limit on calls.</t>
  </si>
  <si>
    <t>ACME Bites</t>
  </si>
  <si>
    <t>920-419-6270</t>
  </si>
  <si>
    <t>4660 Sycamore Lake Road</t>
  </si>
  <si>
    <t>Green Bay</t>
  </si>
  <si>
    <t>WI</t>
  </si>
  <si>
    <t>One of our best customers! Likes to talk about roses. Make sure to read all about roses on Wikipedia before meeting.</t>
  </si>
  <si>
    <t>Wholesome Foods</t>
  </si>
  <si>
    <t>347-789-7688</t>
  </si>
  <si>
    <t>1521 Redbud Drive</t>
  </si>
  <si>
    <t>Huntington</t>
  </si>
  <si>
    <t>NY</t>
  </si>
  <si>
    <t>CEO has three kids, first one is Charles, don't know the rest. CEO cares about Charles the most, so all good.</t>
  </si>
  <si>
    <t>Park &amp; Shop Convenience Stores</t>
  </si>
  <si>
    <t>251-655-2909</t>
  </si>
  <si>
    <t>2217 Lonely Oak Drive</t>
  </si>
  <si>
    <t>Mobile</t>
  </si>
  <si>
    <t>AL</t>
  </si>
  <si>
    <t>New customer, make sure to please them! Very frugal, so reinforce how delicious AND inexpensive our cookies are.</t>
  </si>
  <si>
    <t>Orlando</t>
  </si>
  <si>
    <t>FL</t>
  </si>
  <si>
    <t>East coast headquarters of Tres Delicious.</t>
  </si>
  <si>
    <t>OrderID</t>
  </si>
  <si>
    <t>OrderDate</t>
  </si>
  <si>
    <t>OrderTotal</t>
  </si>
  <si>
    <t>CookieID</t>
  </si>
  <si>
    <t>Quantity</t>
  </si>
  <si>
    <t>CookieName</t>
  </si>
  <si>
    <t>RevenuePerCookie</t>
  </si>
  <si>
    <t>CostPerCookie</t>
  </si>
  <si>
    <t>Chocolate Chip</t>
  </si>
  <si>
    <t>Fortune Cookie</t>
  </si>
  <si>
    <t>Oatmeal Raisin</t>
  </si>
  <si>
    <t>Snickerdoodle</t>
  </si>
  <si>
    <t>Sugar</t>
  </si>
  <si>
    <t>White Chocolate Macadamia Nut</t>
  </si>
  <si>
    <t>36602</t>
  </si>
  <si>
    <t>84113</t>
  </si>
  <si>
    <t>98112</t>
  </si>
  <si>
    <t>11743</t>
  </si>
  <si>
    <t>54303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</si>
</sst>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44" fontId="0" fillId="0" borderId="1" xfId="2" applyFont="1" applyBorder="1"/>
    <xf numFmtId="44" fontId="0" fillId="0" borderId="0" xfId="2" applyFont="1"/>
    <xf numFmtId="164" fontId="0" fillId="0" borderId="2" xfId="1" applyNumberFormat="1" applyFont="1" applyBorder="1"/>
    <xf numFmtId="164" fontId="0" fillId="0" borderId="1" xfId="1" applyNumberFormat="1" applyFont="1" applyBorder="1"/>
    <xf numFmtId="0" fontId="0" fillId="0" borderId="0" xfId="0" applyAlignment="1">
      <alignment wrapText="1"/>
    </xf>
    <xf numFmtId="44" fontId="0" fillId="0" borderId="0" xfId="0" applyNumberFormat="1"/>
    <xf numFmtId="2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19" formatCode="m/d/yyyy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E5D27F-7DE3-45CD-8F9B-BD89939B0C54}" name="Table6" displayName="Table6" ref="A1:I7" totalsRowShown="0">
  <autoFilter ref="A1:I7" xr:uid="{A5E5D27F-7DE3-45CD-8F9B-BD89939B0C54}"/>
  <tableColumns count="9">
    <tableColumn id="1" xr3:uid="{23403775-C36E-44AE-9D89-8DE98278F53B}" name="CustomerID"/>
    <tableColumn id="2" xr3:uid="{BB93AEF4-5C9D-4FE8-85C4-EF21BE736A13}" name="CustomerName"/>
    <tableColumn id="3" xr3:uid="{8139865E-C0D8-4BC4-B010-FD48680FF2F6}" name="Phone"/>
    <tableColumn id="4" xr3:uid="{0CE2F118-BBF2-49C7-B788-247B87FCC68A}" name="Address"/>
    <tableColumn id="5" xr3:uid="{F98FE068-9914-4740-BF0F-497404641E3D}" name="City"/>
    <tableColumn id="6" xr3:uid="{C4827BA8-D01A-4363-947F-99575A6F6531}" name="State"/>
    <tableColumn id="7" xr3:uid="{8C9504BA-B9CA-4462-A85E-2AA22433FC29}" name="Zip"/>
    <tableColumn id="8" xr3:uid="{30ECFCD0-A445-4337-AEED-1C0133FEC490}" name="Country"/>
    <tableColumn id="9" xr3:uid="{CB6F23A0-9B65-46BB-91AB-55BE05CE8AAA}" name="Notes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AA1EE7-EA12-4BE1-9921-80C4A75710F5}" name="Table3" displayName="Table3" ref="A1:D51" totalsRowShown="0">
  <autoFilter ref="A1:D51" xr:uid="{0CD37763-51E1-446D-87E3-8273F78F9818}"/>
  <sortState xmlns:xlrd2="http://schemas.microsoft.com/office/spreadsheetml/2017/richdata2" ref="A2:D51">
    <sortCondition ref="B1:B51"/>
  </sortState>
  <tableColumns count="4">
    <tableColumn id="7" xr3:uid="{A3556751-2769-4808-8E0C-0903269DFD7E}" name="OrderID"/>
    <tableColumn id="8" xr3:uid="{2B3DC3E5-1A27-42F4-B3EC-86CEEC8B0CB6}" name="OrderDate" dataDxfId="22"/>
    <tableColumn id="1" xr3:uid="{4AB1371D-EC0C-471B-8345-77A0BFC704CA}" name="CustomerID" dataDxfId="21"/>
    <tableColumn id="2" xr3:uid="{F3DE2F95-5888-442D-80AA-463753EE9DDB}" name="OrderTotal" dataDxfId="20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730694-AFC3-4481-9E5A-71CFE0302285}" name="Table7" displayName="Table7" ref="A1:C132" totalsRowShown="0">
  <autoFilter ref="A1:C132" xr:uid="{F2730694-AFC3-4481-9E5A-71CFE0302285}"/>
  <tableColumns count="3">
    <tableColumn id="1" xr3:uid="{D7843047-FD67-4E14-A7BC-E08BC551B625}" name="OrderID"/>
    <tableColumn id="2" xr3:uid="{BCAE4CCA-9A1F-470B-9B68-927B3BAF4B92}" name="CookieID" dataDxfId="18"/>
    <tableColumn id="3" xr3:uid="{5F2C0674-7CFD-4531-8E0B-13F832EA49AA}" name="Quantity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B00BF2-0F6D-4100-A037-B08A945D0B6F}" name="Table13" displayName="Table13" ref="A1:D7" totalsRowShown="0">
  <autoFilter ref="A1:D7" xr:uid="{F6B00BF2-0F6D-4100-A037-B08A945D0B6F}"/>
  <tableColumns count="4">
    <tableColumn id="4" xr3:uid="{7C571476-86D4-4191-8F5D-AA6CF402CBC7}" name="CookieID" dataDxfId="16" dataCellStyle="Comma"/>
    <tableColumn id="1" xr3:uid="{C8214BFB-492B-47E4-A889-CC8ADCC106E5}" name="CookieName" dataDxfId="15" dataCellStyle="Currency"/>
    <tableColumn id="2" xr3:uid="{FB5E8197-6D27-48F5-AF02-7B9B097840AE}" name="RevenuePerCookie" dataDxfId="14" dataCellStyle="Currency"/>
    <tableColumn id="3" xr3:uid="{DADFF978-7319-4C34-A2AE-56C78A16AF04}" name="CostPerCookie" dataDxfId="13" dataCellStyle="Currenc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9B39C-ECA8-484F-8CD4-03AB823386F0}" name="Table72" displayName="Table72" ref="A1:Q132" totalsRowShown="0">
  <autoFilter ref="A1:Q132" xr:uid="{4F09B39C-ECA8-484F-8CD4-03AB823386F0}"/>
  <sortState xmlns:xlrd2="http://schemas.microsoft.com/office/spreadsheetml/2017/richdata2" ref="A2:Q132">
    <sortCondition ref="A1:A132"/>
  </sortState>
  <tableColumns count="17">
    <tableColumn id="1" xr3:uid="{C7739B0A-8410-4DC0-8BBC-8F293AD470D9}" name="OrderID"/>
    <tableColumn id="13" xr3:uid="{8290D9A5-D99C-47FD-ABFC-C90EDE50460D}" name="OrderDate" dataDxfId="11"/>
    <tableColumn id="14" xr3:uid="{5F8CE357-A7F2-47C5-A626-B4F8E55811F2}" name="OrderTotal"/>
    <tableColumn id="2" xr3:uid="{C468A11D-5E42-4BFB-804E-B7FF01A31223}" name="CookieID" dataDxfId="10"/>
    <tableColumn id="17" xr3:uid="{31DE3C5F-EECA-49D1-B644-E359DF95B73C}" name="CookieName"/>
    <tableColumn id="16" xr3:uid="{D2C80FEB-B24D-4F35-824B-325043AA7F5C}" name="RevenuePerCookie"/>
    <tableColumn id="15" xr3:uid="{78D491C5-6DBB-4384-8DC9-6AAAC4898B0C}" name="CostPerCookie"/>
    <tableColumn id="3" xr3:uid="{78E67D9B-5D4E-43D3-A97B-CA4FFF76F163}" name="Quantity" dataDxfId="9"/>
    <tableColumn id="4" xr3:uid="{8D7909C1-31F6-4EA4-837D-638447A57CFF}" name="CustomerID" dataDxfId="8">
      <calculatedColumnFormula array="1">_xlfn.XLOOKUP(Table72[[#This Row],[OrderID]],Table3[[#All],[OrderID]],Table3[[#All],[CustomerID]])</calculatedColumnFormula>
    </tableColumn>
    <tableColumn id="5" xr3:uid="{EC6F0CCE-D527-457C-A31E-46BA5F5CEF40}" name="CustomerName" dataDxfId="7"/>
    <tableColumn id="6" xr3:uid="{FB2A22F6-BBAB-4C73-888E-E6944436C863}" name="Phone" dataDxfId="6"/>
    <tableColumn id="7" xr3:uid="{1F289971-6F15-4392-AF76-DE7798614602}" name="Address" dataDxfId="5"/>
    <tableColumn id="8" xr3:uid="{20151C1B-AE3E-4EEC-AD3F-A509AE4FC687}" name="City" dataDxfId="4"/>
    <tableColumn id="9" xr3:uid="{5030E91E-C1D7-4225-B308-63B212E311CF}" name="State" dataDxfId="3"/>
    <tableColumn id="10" xr3:uid="{71543F04-8FEA-4C63-AB8F-C678245FC1E2}" name="Zip" dataDxfId="2"/>
    <tableColumn id="11" xr3:uid="{DED764AC-7E66-4426-B063-150832C43A57}" name="Country" dataDxfId="1"/>
    <tableColumn id="12" xr3:uid="{D182A063-C3B8-4DA1-98F0-25DB9E418BD4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4A5F4-DC28-42D8-9115-F5EFE94F36D8}">
  <dimension ref="A1:I7"/>
  <sheetViews>
    <sheetView zoomScale="85" zoomScaleNormal="85" workbookViewId="0">
      <selection activeCell="I7" sqref="I7"/>
    </sheetView>
  </sheetViews>
  <sheetFormatPr defaultRowHeight="15"/>
  <cols>
    <col min="1" max="1" width="13.140625" customWidth="1"/>
    <col min="2" max="2" width="30.28515625" bestFit="1" customWidth="1"/>
    <col min="3" max="3" width="17.28515625" customWidth="1"/>
    <col min="4" max="4" width="17.28515625" bestFit="1" customWidth="1"/>
    <col min="5" max="5" width="14.42578125" customWidth="1"/>
    <col min="8" max="8" width="17.7109375" customWidth="1"/>
    <col min="9" max="9" width="2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60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98112</v>
      </c>
      <c r="H2" t="s">
        <v>14</v>
      </c>
      <c r="I2" s="6" t="s">
        <v>15</v>
      </c>
    </row>
    <row r="3" spans="1:9" ht="45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84113</v>
      </c>
      <c r="H3" t="s">
        <v>14</v>
      </c>
      <c r="I3" s="6" t="s">
        <v>21</v>
      </c>
    </row>
    <row r="4" spans="1:9" ht="75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54303</v>
      </c>
      <c r="H4" t="s">
        <v>14</v>
      </c>
      <c r="I4" s="6" t="s">
        <v>27</v>
      </c>
    </row>
    <row r="5" spans="1:9" ht="75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11743</v>
      </c>
      <c r="H5" t="s">
        <v>14</v>
      </c>
      <c r="I5" s="6" t="s">
        <v>33</v>
      </c>
    </row>
    <row r="6" spans="1:9" ht="60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>
        <v>36602</v>
      </c>
      <c r="H6" t="s">
        <v>14</v>
      </c>
      <c r="I6" s="6" t="s">
        <v>39</v>
      </c>
    </row>
    <row r="7" spans="1:9" ht="44.25" customHeight="1">
      <c r="A7">
        <v>6</v>
      </c>
      <c r="B7" t="s">
        <v>9</v>
      </c>
      <c r="C7" t="s">
        <v>10</v>
      </c>
      <c r="D7" t="s">
        <v>11</v>
      </c>
      <c r="E7" t="s">
        <v>40</v>
      </c>
      <c r="F7" t="s">
        <v>41</v>
      </c>
      <c r="G7">
        <v>45853</v>
      </c>
      <c r="H7" t="s">
        <v>14</v>
      </c>
      <c r="I7" s="6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B978-4946-4402-92B7-84E01B6D10DF}">
  <dimension ref="A1:K51"/>
  <sheetViews>
    <sheetView zoomScale="55" zoomScaleNormal="55" workbookViewId="0">
      <selection activeCell="B5" sqref="B5"/>
    </sheetView>
  </sheetViews>
  <sheetFormatPr defaultRowHeight="15"/>
  <cols>
    <col min="1" max="1" width="10.28515625" bestFit="1" customWidth="1"/>
    <col min="2" max="2" width="18.5703125" customWidth="1"/>
    <col min="3" max="3" width="16.42578125" customWidth="1"/>
    <col min="4" max="4" width="24.7109375" customWidth="1"/>
    <col min="10" max="11" width="9.7109375" bestFit="1" customWidth="1"/>
  </cols>
  <sheetData>
    <row r="1" spans="1:11">
      <c r="A1" t="s">
        <v>43</v>
      </c>
      <c r="B1" t="s">
        <v>44</v>
      </c>
      <c r="C1" t="s">
        <v>0</v>
      </c>
      <c r="D1" t="s">
        <v>45</v>
      </c>
    </row>
    <row r="2" spans="1:11">
      <c r="A2">
        <v>1</v>
      </c>
      <c r="B2" s="1">
        <v>44562</v>
      </c>
      <c r="C2">
        <v>5</v>
      </c>
      <c r="D2" s="3">
        <v>1815</v>
      </c>
    </row>
    <row r="3" spans="1:11">
      <c r="A3">
        <v>2</v>
      </c>
      <c r="B3" s="1">
        <v>44563</v>
      </c>
      <c r="C3">
        <v>5</v>
      </c>
      <c r="D3" s="3">
        <v>964</v>
      </c>
      <c r="J3" s="1"/>
      <c r="K3" s="8"/>
    </row>
    <row r="4" spans="1:11">
      <c r="A4">
        <v>3</v>
      </c>
      <c r="B4" s="1">
        <v>44565</v>
      </c>
      <c r="C4">
        <v>2</v>
      </c>
      <c r="D4" s="3">
        <v>2238</v>
      </c>
      <c r="J4" s="1"/>
      <c r="K4" s="8"/>
    </row>
    <row r="5" spans="1:11">
      <c r="A5">
        <v>4</v>
      </c>
      <c r="B5" s="1">
        <v>44567</v>
      </c>
      <c r="C5">
        <v>1</v>
      </c>
      <c r="D5" s="3">
        <v>737</v>
      </c>
    </row>
    <row r="6" spans="1:11">
      <c r="A6">
        <v>5</v>
      </c>
      <c r="B6" s="1">
        <v>44570</v>
      </c>
      <c r="C6">
        <v>4</v>
      </c>
      <c r="D6" s="3">
        <v>569</v>
      </c>
    </row>
    <row r="7" spans="1:11">
      <c r="A7">
        <v>6</v>
      </c>
      <c r="B7" s="1">
        <v>44570</v>
      </c>
      <c r="C7">
        <v>4</v>
      </c>
      <c r="D7" s="3">
        <v>1586</v>
      </c>
    </row>
    <row r="8" spans="1:11">
      <c r="A8">
        <v>7</v>
      </c>
      <c r="B8" s="1">
        <v>44570</v>
      </c>
      <c r="C8">
        <v>4</v>
      </c>
      <c r="D8" s="3">
        <v>210</v>
      </c>
    </row>
    <row r="9" spans="1:11">
      <c r="A9">
        <v>8</v>
      </c>
      <c r="B9" s="1">
        <v>44572</v>
      </c>
      <c r="C9">
        <v>5</v>
      </c>
      <c r="D9" s="3">
        <v>2424</v>
      </c>
    </row>
    <row r="10" spans="1:11">
      <c r="A10">
        <v>9</v>
      </c>
      <c r="B10" s="1">
        <v>44574</v>
      </c>
      <c r="C10">
        <v>2</v>
      </c>
      <c r="D10" s="3">
        <v>1982</v>
      </c>
    </row>
    <row r="11" spans="1:11">
      <c r="A11">
        <v>10</v>
      </c>
      <c r="B11" s="1">
        <v>44574</v>
      </c>
      <c r="C11">
        <v>4</v>
      </c>
      <c r="D11" s="3">
        <v>39</v>
      </c>
    </row>
    <row r="12" spans="1:11">
      <c r="A12">
        <v>11</v>
      </c>
      <c r="B12" s="1">
        <v>44576</v>
      </c>
      <c r="C12">
        <v>5</v>
      </c>
      <c r="D12" s="3">
        <v>1383</v>
      </c>
    </row>
    <row r="13" spans="1:11">
      <c r="A13">
        <v>12</v>
      </c>
      <c r="B13" s="1">
        <v>44580</v>
      </c>
      <c r="C13">
        <v>1</v>
      </c>
      <c r="D13" s="3">
        <v>1680</v>
      </c>
    </row>
    <row r="14" spans="1:11">
      <c r="A14">
        <v>13</v>
      </c>
      <c r="B14" s="1">
        <v>44581</v>
      </c>
      <c r="C14">
        <v>3</v>
      </c>
      <c r="D14" s="3">
        <v>3293</v>
      </c>
    </row>
    <row r="15" spans="1:11">
      <c r="A15">
        <v>14</v>
      </c>
      <c r="B15" s="1">
        <v>44582</v>
      </c>
      <c r="C15">
        <v>1</v>
      </c>
      <c r="D15" s="3">
        <v>773</v>
      </c>
    </row>
    <row r="16" spans="1:11">
      <c r="A16">
        <v>15</v>
      </c>
      <c r="B16" s="1">
        <v>44582</v>
      </c>
      <c r="C16">
        <v>3</v>
      </c>
      <c r="D16" s="3">
        <v>1093</v>
      </c>
    </row>
    <row r="17" spans="1:4">
      <c r="A17">
        <v>16</v>
      </c>
      <c r="B17" s="1">
        <v>44582</v>
      </c>
      <c r="C17">
        <v>2</v>
      </c>
      <c r="D17" s="3">
        <v>998</v>
      </c>
    </row>
    <row r="18" spans="1:4">
      <c r="A18">
        <v>17</v>
      </c>
      <c r="B18" s="1">
        <v>44584</v>
      </c>
      <c r="C18">
        <v>3</v>
      </c>
      <c r="D18" s="3">
        <v>912</v>
      </c>
    </row>
    <row r="19" spans="1:4">
      <c r="A19">
        <v>18</v>
      </c>
      <c r="B19" s="1">
        <v>44585</v>
      </c>
      <c r="C19">
        <v>4</v>
      </c>
      <c r="D19" s="3">
        <v>915</v>
      </c>
    </row>
    <row r="20" spans="1:4">
      <c r="A20">
        <v>19</v>
      </c>
      <c r="B20" s="1">
        <v>44588</v>
      </c>
      <c r="C20">
        <v>2</v>
      </c>
      <c r="D20" s="3">
        <v>1410</v>
      </c>
    </row>
    <row r="21" spans="1:4">
      <c r="A21">
        <v>20</v>
      </c>
      <c r="B21" s="1">
        <v>44593</v>
      </c>
      <c r="C21">
        <v>2</v>
      </c>
      <c r="D21" s="3">
        <v>1955</v>
      </c>
    </row>
    <row r="22" spans="1:4">
      <c r="A22">
        <v>21</v>
      </c>
      <c r="B22" s="1">
        <v>44597</v>
      </c>
      <c r="C22">
        <v>5</v>
      </c>
      <c r="D22" s="3">
        <v>74</v>
      </c>
    </row>
    <row r="23" spans="1:4">
      <c r="A23">
        <v>22</v>
      </c>
      <c r="B23" s="1">
        <v>44597</v>
      </c>
      <c r="C23">
        <v>4</v>
      </c>
      <c r="D23" s="3">
        <v>1744</v>
      </c>
    </row>
    <row r="24" spans="1:4">
      <c r="A24">
        <v>23</v>
      </c>
      <c r="B24" s="1">
        <v>44598</v>
      </c>
      <c r="C24">
        <v>2</v>
      </c>
      <c r="D24" s="3">
        <v>1776</v>
      </c>
    </row>
    <row r="25" spans="1:4">
      <c r="A25">
        <v>24</v>
      </c>
      <c r="B25" s="1">
        <v>44598</v>
      </c>
      <c r="C25">
        <v>3</v>
      </c>
      <c r="D25" s="3">
        <v>1829</v>
      </c>
    </row>
    <row r="26" spans="1:4">
      <c r="A26">
        <v>25</v>
      </c>
      <c r="B26" s="1">
        <v>44599</v>
      </c>
      <c r="C26">
        <v>4</v>
      </c>
      <c r="D26" s="3">
        <v>1113</v>
      </c>
    </row>
    <row r="27" spans="1:4">
      <c r="A27">
        <v>26</v>
      </c>
      <c r="B27" s="1">
        <v>44600</v>
      </c>
      <c r="C27">
        <v>3</v>
      </c>
      <c r="D27" s="3">
        <v>171</v>
      </c>
    </row>
    <row r="28" spans="1:4">
      <c r="A28">
        <v>27</v>
      </c>
      <c r="B28" s="1">
        <v>44601</v>
      </c>
      <c r="C28">
        <v>3</v>
      </c>
      <c r="D28" s="3">
        <v>1291</v>
      </c>
    </row>
    <row r="29" spans="1:4">
      <c r="A29">
        <v>28</v>
      </c>
      <c r="B29" s="1">
        <v>44603</v>
      </c>
      <c r="C29">
        <v>4</v>
      </c>
      <c r="D29" s="3">
        <v>2060</v>
      </c>
    </row>
    <row r="30" spans="1:4">
      <c r="A30">
        <v>29</v>
      </c>
      <c r="B30" s="1">
        <v>44603</v>
      </c>
      <c r="C30">
        <v>5</v>
      </c>
      <c r="D30" s="3">
        <v>1263</v>
      </c>
    </row>
    <row r="31" spans="1:4">
      <c r="A31">
        <v>30</v>
      </c>
      <c r="B31" s="1">
        <v>44604</v>
      </c>
      <c r="C31">
        <v>1</v>
      </c>
      <c r="D31" s="3">
        <v>2117</v>
      </c>
    </row>
    <row r="32" spans="1:4">
      <c r="A32">
        <v>31</v>
      </c>
      <c r="B32" s="1">
        <v>44605</v>
      </c>
      <c r="C32">
        <v>2</v>
      </c>
      <c r="D32" s="3">
        <v>1900</v>
      </c>
    </row>
    <row r="33" spans="1:4">
      <c r="A33">
        <v>32</v>
      </c>
      <c r="B33" s="1">
        <v>44608</v>
      </c>
      <c r="C33">
        <v>5</v>
      </c>
      <c r="D33" s="3">
        <v>2847</v>
      </c>
    </row>
    <row r="34" spans="1:4">
      <c r="A34">
        <v>33</v>
      </c>
      <c r="B34" s="1">
        <v>44609</v>
      </c>
      <c r="C34">
        <v>3</v>
      </c>
      <c r="D34" s="3">
        <v>2159</v>
      </c>
    </row>
    <row r="35" spans="1:4">
      <c r="A35">
        <v>34</v>
      </c>
      <c r="B35" s="1">
        <v>44610</v>
      </c>
      <c r="C35">
        <v>2</v>
      </c>
      <c r="D35" s="3">
        <v>1196</v>
      </c>
    </row>
    <row r="36" spans="1:4">
      <c r="A36">
        <v>35</v>
      </c>
      <c r="B36" s="1">
        <v>44613</v>
      </c>
      <c r="C36">
        <v>5</v>
      </c>
      <c r="D36" s="3">
        <v>1165</v>
      </c>
    </row>
    <row r="37" spans="1:4">
      <c r="A37">
        <v>36</v>
      </c>
      <c r="B37" s="1">
        <v>44617</v>
      </c>
      <c r="C37">
        <v>4</v>
      </c>
      <c r="D37" s="3">
        <v>1391</v>
      </c>
    </row>
    <row r="38" spans="1:4">
      <c r="A38">
        <v>37</v>
      </c>
      <c r="B38" s="1">
        <v>44617</v>
      </c>
      <c r="C38">
        <v>2</v>
      </c>
      <c r="D38" s="3">
        <v>1415</v>
      </c>
    </row>
    <row r="39" spans="1:4">
      <c r="A39">
        <v>38</v>
      </c>
      <c r="B39" s="1">
        <v>44618</v>
      </c>
      <c r="C39">
        <v>1</v>
      </c>
      <c r="D39" s="3">
        <v>685</v>
      </c>
    </row>
    <row r="40" spans="1:4">
      <c r="A40">
        <v>39</v>
      </c>
      <c r="B40" s="1">
        <v>44618</v>
      </c>
      <c r="C40">
        <v>5</v>
      </c>
      <c r="D40" s="3">
        <v>1094</v>
      </c>
    </row>
    <row r="41" spans="1:4">
      <c r="A41">
        <v>40</v>
      </c>
      <c r="B41" s="1">
        <v>44620</v>
      </c>
      <c r="C41">
        <v>1</v>
      </c>
      <c r="D41" s="3">
        <v>487</v>
      </c>
    </row>
    <row r="42" spans="1:4">
      <c r="A42">
        <v>41</v>
      </c>
      <c r="B42" s="1">
        <v>44620</v>
      </c>
      <c r="C42">
        <v>5</v>
      </c>
      <c r="D42" s="3">
        <v>240</v>
      </c>
    </row>
    <row r="43" spans="1:4">
      <c r="A43">
        <v>42</v>
      </c>
      <c r="B43" s="1">
        <v>44627</v>
      </c>
      <c r="C43">
        <v>1</v>
      </c>
      <c r="D43" s="3">
        <v>1351</v>
      </c>
    </row>
    <row r="44" spans="1:4">
      <c r="A44">
        <v>43</v>
      </c>
      <c r="B44" s="1">
        <v>44627</v>
      </c>
      <c r="C44">
        <v>5</v>
      </c>
      <c r="D44" s="3">
        <v>3518</v>
      </c>
    </row>
    <row r="45" spans="1:4">
      <c r="A45">
        <v>44</v>
      </c>
      <c r="B45" s="1">
        <v>44627</v>
      </c>
      <c r="C45">
        <v>3</v>
      </c>
      <c r="D45" s="3">
        <v>952</v>
      </c>
    </row>
    <row r="46" spans="1:4">
      <c r="A46">
        <v>45</v>
      </c>
      <c r="B46" s="1">
        <v>44628</v>
      </c>
      <c r="C46">
        <v>3</v>
      </c>
      <c r="D46" s="3">
        <v>2208</v>
      </c>
    </row>
    <row r="47" spans="1:4">
      <c r="A47">
        <v>46</v>
      </c>
      <c r="B47" s="1">
        <v>44629</v>
      </c>
      <c r="C47">
        <v>5</v>
      </c>
      <c r="D47" s="3">
        <v>648</v>
      </c>
    </row>
    <row r="48" spans="1:4">
      <c r="A48">
        <v>47</v>
      </c>
      <c r="B48" s="1">
        <v>44630</v>
      </c>
      <c r="C48">
        <v>3</v>
      </c>
      <c r="D48" s="3">
        <v>798</v>
      </c>
    </row>
    <row r="49" spans="1:4">
      <c r="A49">
        <v>48</v>
      </c>
      <c r="B49" s="1">
        <v>44632</v>
      </c>
      <c r="C49">
        <v>4</v>
      </c>
      <c r="D49" s="3">
        <v>655</v>
      </c>
    </row>
    <row r="50" spans="1:4">
      <c r="A50">
        <v>49</v>
      </c>
      <c r="B50" s="1">
        <v>44633</v>
      </c>
      <c r="C50">
        <v>1</v>
      </c>
      <c r="D50" s="3">
        <v>588</v>
      </c>
    </row>
    <row r="51" spans="1:4">
      <c r="A51">
        <v>50</v>
      </c>
      <c r="B51" s="1">
        <v>44634</v>
      </c>
      <c r="C51">
        <v>4</v>
      </c>
      <c r="D51" s="3">
        <v>180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1D71-FEB3-40B0-8194-D88445A3E457}">
  <dimension ref="A1:C132"/>
  <sheetViews>
    <sheetView zoomScale="55" zoomScaleNormal="55" workbookViewId="0">
      <selection activeCell="B37" sqref="B37"/>
    </sheetView>
  </sheetViews>
  <sheetFormatPr defaultColWidth="16.42578125" defaultRowHeight="15"/>
  <cols>
    <col min="1" max="1" width="17.5703125" customWidth="1"/>
    <col min="2" max="2" width="18.42578125" customWidth="1"/>
    <col min="3" max="3" width="22.7109375" customWidth="1"/>
  </cols>
  <sheetData>
    <row r="1" spans="1:3">
      <c r="A1" t="s">
        <v>43</v>
      </c>
      <c r="B1" t="s">
        <v>46</v>
      </c>
      <c r="C1" t="s">
        <v>47</v>
      </c>
    </row>
    <row r="2" spans="1:3">
      <c r="A2">
        <v>1</v>
      </c>
      <c r="B2">
        <v>1</v>
      </c>
      <c r="C2">
        <v>229</v>
      </c>
    </row>
    <row r="3" spans="1:3">
      <c r="A3">
        <v>2</v>
      </c>
      <c r="B3">
        <v>4</v>
      </c>
      <c r="C3">
        <v>49</v>
      </c>
    </row>
    <row r="4" spans="1:3">
      <c r="A4">
        <v>3</v>
      </c>
      <c r="B4">
        <v>1</v>
      </c>
      <c r="C4">
        <v>82</v>
      </c>
    </row>
    <row r="5" spans="1:3">
      <c r="A5">
        <v>4</v>
      </c>
      <c r="B5">
        <v>4</v>
      </c>
      <c r="C5">
        <v>82</v>
      </c>
    </row>
    <row r="6" spans="1:3">
      <c r="A6">
        <v>5</v>
      </c>
      <c r="B6">
        <v>5</v>
      </c>
      <c r="C6">
        <v>11</v>
      </c>
    </row>
    <row r="7" spans="1:3">
      <c r="A7">
        <v>6</v>
      </c>
      <c r="B7">
        <v>1</v>
      </c>
      <c r="C7">
        <v>214</v>
      </c>
    </row>
    <row r="8" spans="1:3">
      <c r="A8">
        <v>7</v>
      </c>
      <c r="B8">
        <v>2</v>
      </c>
      <c r="C8">
        <v>210</v>
      </c>
    </row>
    <row r="9" spans="1:3">
      <c r="A9">
        <v>8</v>
      </c>
      <c r="B9">
        <v>2</v>
      </c>
      <c r="C9">
        <v>114</v>
      </c>
    </row>
    <row r="10" spans="1:3">
      <c r="A10">
        <v>9</v>
      </c>
      <c r="B10">
        <v>2</v>
      </c>
      <c r="C10">
        <v>226</v>
      </c>
    </row>
    <row r="11" spans="1:3">
      <c r="A11">
        <v>10</v>
      </c>
      <c r="B11">
        <v>2</v>
      </c>
      <c r="C11">
        <v>39</v>
      </c>
    </row>
    <row r="12" spans="1:3">
      <c r="A12">
        <v>11</v>
      </c>
      <c r="B12">
        <v>6</v>
      </c>
      <c r="C12">
        <v>65</v>
      </c>
    </row>
    <row r="13" spans="1:3">
      <c r="A13">
        <v>12</v>
      </c>
      <c r="B13">
        <v>1</v>
      </c>
      <c r="C13">
        <v>171</v>
      </c>
    </row>
    <row r="14" spans="1:3">
      <c r="A14">
        <v>13</v>
      </c>
      <c r="B14">
        <v>2</v>
      </c>
      <c r="C14">
        <v>193</v>
      </c>
    </row>
    <row r="15" spans="1:3">
      <c r="A15">
        <v>14</v>
      </c>
      <c r="B15">
        <v>3</v>
      </c>
      <c r="C15">
        <v>78</v>
      </c>
    </row>
    <row r="16" spans="1:3">
      <c r="A16">
        <v>15</v>
      </c>
      <c r="B16">
        <v>5</v>
      </c>
      <c r="C16">
        <v>48</v>
      </c>
    </row>
    <row r="17" spans="1:3">
      <c r="A17">
        <v>16</v>
      </c>
      <c r="B17">
        <v>6</v>
      </c>
      <c r="C17">
        <v>129</v>
      </c>
    </row>
    <row r="18" spans="1:3">
      <c r="A18">
        <v>17</v>
      </c>
      <c r="B18">
        <v>5</v>
      </c>
      <c r="C18">
        <v>199</v>
      </c>
    </row>
    <row r="19" spans="1:3">
      <c r="A19">
        <v>18</v>
      </c>
      <c r="B19">
        <v>3</v>
      </c>
      <c r="C19">
        <v>183</v>
      </c>
    </row>
    <row r="20" spans="1:3">
      <c r="A20">
        <v>19</v>
      </c>
      <c r="B20">
        <v>6</v>
      </c>
      <c r="C20">
        <v>235</v>
      </c>
    </row>
    <row r="21" spans="1:3">
      <c r="A21">
        <v>20</v>
      </c>
      <c r="B21">
        <v>3</v>
      </c>
      <c r="C21">
        <v>147</v>
      </c>
    </row>
    <row r="22" spans="1:3">
      <c r="A22">
        <v>21</v>
      </c>
      <c r="B22">
        <v>2</v>
      </c>
      <c r="C22">
        <v>74</v>
      </c>
    </row>
    <row r="23" spans="1:3">
      <c r="A23">
        <v>22</v>
      </c>
      <c r="B23">
        <v>2</v>
      </c>
      <c r="C23">
        <v>141</v>
      </c>
    </row>
    <row r="24" spans="1:3">
      <c r="A24">
        <v>23</v>
      </c>
      <c r="B24">
        <v>1</v>
      </c>
      <c r="C24">
        <v>132</v>
      </c>
    </row>
    <row r="25" spans="1:3">
      <c r="A25">
        <v>24</v>
      </c>
      <c r="B25">
        <v>5</v>
      </c>
      <c r="C25">
        <v>122</v>
      </c>
    </row>
    <row r="26" spans="1:3">
      <c r="A26">
        <v>25</v>
      </c>
      <c r="B26">
        <v>2</v>
      </c>
      <c r="C26">
        <v>239</v>
      </c>
    </row>
    <row r="27" spans="1:3">
      <c r="A27">
        <v>26</v>
      </c>
      <c r="B27">
        <v>2</v>
      </c>
      <c r="C27">
        <v>171</v>
      </c>
    </row>
    <row r="28" spans="1:3">
      <c r="A28">
        <v>27</v>
      </c>
      <c r="B28">
        <v>1</v>
      </c>
      <c r="C28">
        <v>179</v>
      </c>
    </row>
    <row r="29" spans="1:3">
      <c r="A29">
        <v>28</v>
      </c>
      <c r="B29">
        <v>6</v>
      </c>
      <c r="C29">
        <v>168</v>
      </c>
    </row>
    <row r="30" spans="1:3">
      <c r="A30">
        <v>29</v>
      </c>
      <c r="B30">
        <v>4</v>
      </c>
      <c r="C30">
        <v>80</v>
      </c>
    </row>
    <row r="31" spans="1:3">
      <c r="A31">
        <v>30</v>
      </c>
      <c r="B31">
        <v>5</v>
      </c>
      <c r="C31">
        <v>152</v>
      </c>
    </row>
    <row r="32" spans="1:3">
      <c r="A32">
        <v>31</v>
      </c>
      <c r="B32">
        <v>1</v>
      </c>
      <c r="C32">
        <v>151</v>
      </c>
    </row>
    <row r="33" spans="1:3">
      <c r="A33">
        <v>32</v>
      </c>
      <c r="B33">
        <v>3</v>
      </c>
      <c r="C33">
        <v>128</v>
      </c>
    </row>
    <row r="34" spans="1:3">
      <c r="A34">
        <v>33</v>
      </c>
      <c r="B34">
        <v>5</v>
      </c>
      <c r="C34">
        <v>202</v>
      </c>
    </row>
    <row r="35" spans="1:3">
      <c r="A35">
        <v>34</v>
      </c>
      <c r="B35">
        <v>2</v>
      </c>
      <c r="C35">
        <v>196</v>
      </c>
    </row>
    <row r="36" spans="1:3">
      <c r="A36">
        <v>35</v>
      </c>
      <c r="B36">
        <v>5</v>
      </c>
      <c r="C36">
        <v>113</v>
      </c>
    </row>
    <row r="37" spans="1:3">
      <c r="A37">
        <v>36</v>
      </c>
      <c r="B37">
        <v>1</v>
      </c>
      <c r="C37">
        <v>116</v>
      </c>
    </row>
    <row r="38" spans="1:3">
      <c r="A38">
        <v>37</v>
      </c>
      <c r="B38">
        <v>1</v>
      </c>
      <c r="C38">
        <v>136</v>
      </c>
    </row>
    <row r="39" spans="1:3">
      <c r="A39">
        <v>38</v>
      </c>
      <c r="B39">
        <v>1</v>
      </c>
      <c r="C39">
        <v>137</v>
      </c>
    </row>
    <row r="40" spans="1:3">
      <c r="A40">
        <v>39</v>
      </c>
      <c r="B40">
        <v>4</v>
      </c>
      <c r="C40">
        <v>14</v>
      </c>
    </row>
    <row r="41" spans="1:3">
      <c r="A41">
        <v>40</v>
      </c>
      <c r="B41">
        <v>4</v>
      </c>
      <c r="C41">
        <v>13</v>
      </c>
    </row>
    <row r="42" spans="1:3">
      <c r="A42">
        <v>41</v>
      </c>
      <c r="B42">
        <v>1</v>
      </c>
      <c r="C42">
        <v>48</v>
      </c>
    </row>
    <row r="43" spans="1:3">
      <c r="A43">
        <v>42</v>
      </c>
      <c r="B43">
        <v>2</v>
      </c>
      <c r="C43">
        <v>123</v>
      </c>
    </row>
    <row r="44" spans="1:3">
      <c r="A44">
        <v>43</v>
      </c>
      <c r="B44">
        <v>3</v>
      </c>
      <c r="C44">
        <v>125</v>
      </c>
    </row>
    <row r="45" spans="1:3">
      <c r="A45">
        <v>44</v>
      </c>
      <c r="B45">
        <v>2</v>
      </c>
      <c r="C45">
        <v>155</v>
      </c>
    </row>
    <row r="46" spans="1:3">
      <c r="A46">
        <v>45</v>
      </c>
      <c r="B46">
        <v>6</v>
      </c>
      <c r="C46">
        <v>144</v>
      </c>
    </row>
    <row r="47" spans="1:3">
      <c r="A47">
        <v>46</v>
      </c>
      <c r="B47">
        <v>2</v>
      </c>
      <c r="C47">
        <v>177</v>
      </c>
    </row>
    <row r="48" spans="1:3">
      <c r="A48">
        <v>47</v>
      </c>
      <c r="B48">
        <v>4</v>
      </c>
      <c r="C48">
        <v>132</v>
      </c>
    </row>
    <row r="49" spans="1:3">
      <c r="A49">
        <v>48</v>
      </c>
      <c r="B49">
        <v>3</v>
      </c>
      <c r="C49">
        <v>131</v>
      </c>
    </row>
    <row r="50" spans="1:3">
      <c r="A50">
        <v>49</v>
      </c>
      <c r="B50">
        <v>4</v>
      </c>
      <c r="C50">
        <v>147</v>
      </c>
    </row>
    <row r="51" spans="1:3">
      <c r="A51">
        <v>50</v>
      </c>
      <c r="B51">
        <v>6</v>
      </c>
      <c r="C51">
        <v>30</v>
      </c>
    </row>
    <row r="52" spans="1:3">
      <c r="A52">
        <v>2</v>
      </c>
      <c r="B52">
        <v>6</v>
      </c>
      <c r="C52">
        <v>128</v>
      </c>
    </row>
    <row r="53" spans="1:3">
      <c r="A53">
        <v>20</v>
      </c>
      <c r="B53">
        <v>1</v>
      </c>
      <c r="C53">
        <v>244</v>
      </c>
    </row>
    <row r="54" spans="1:3">
      <c r="A54">
        <v>27</v>
      </c>
      <c r="B54">
        <v>6</v>
      </c>
      <c r="C54">
        <v>66</v>
      </c>
    </row>
    <row r="55" spans="1:3">
      <c r="A55">
        <v>31</v>
      </c>
      <c r="B55">
        <v>3</v>
      </c>
      <c r="C55">
        <v>229</v>
      </c>
    </row>
    <row r="56" spans="1:3">
      <c r="A56">
        <v>47</v>
      </c>
      <c r="B56">
        <v>6</v>
      </c>
      <c r="C56">
        <v>45</v>
      </c>
    </row>
    <row r="57" spans="1:3">
      <c r="A57">
        <v>5</v>
      </c>
      <c r="B57">
        <v>1</v>
      </c>
      <c r="C57">
        <v>46</v>
      </c>
    </row>
    <row r="58" spans="1:3">
      <c r="A58">
        <v>12</v>
      </c>
      <c r="B58">
        <v>5</v>
      </c>
      <c r="C58">
        <v>197</v>
      </c>
    </row>
    <row r="59" spans="1:3">
      <c r="A59">
        <v>17</v>
      </c>
      <c r="B59">
        <v>3</v>
      </c>
      <c r="C59">
        <v>63</v>
      </c>
    </row>
    <row r="60" spans="1:3">
      <c r="A60">
        <v>25</v>
      </c>
      <c r="B60">
        <v>3</v>
      </c>
      <c r="C60">
        <v>42</v>
      </c>
    </row>
    <row r="61" spans="1:3">
      <c r="A61">
        <v>28</v>
      </c>
      <c r="B61">
        <v>4</v>
      </c>
      <c r="C61">
        <v>134</v>
      </c>
    </row>
    <row r="62" spans="1:3">
      <c r="A62">
        <v>30</v>
      </c>
      <c r="B62">
        <v>1</v>
      </c>
      <c r="C62">
        <v>169</v>
      </c>
    </row>
    <row r="63" spans="1:3">
      <c r="A63">
        <v>34</v>
      </c>
      <c r="B63">
        <v>1</v>
      </c>
      <c r="C63">
        <v>200</v>
      </c>
    </row>
    <row r="64" spans="1:3">
      <c r="A64">
        <v>35</v>
      </c>
      <c r="B64">
        <v>3</v>
      </c>
      <c r="C64">
        <v>34</v>
      </c>
    </row>
    <row r="65" spans="1:3">
      <c r="A65">
        <v>37</v>
      </c>
      <c r="B65">
        <v>5</v>
      </c>
      <c r="C65">
        <v>245</v>
      </c>
    </row>
    <row r="66" spans="1:3">
      <c r="A66">
        <v>39</v>
      </c>
      <c r="B66">
        <v>6</v>
      </c>
      <c r="C66">
        <v>173</v>
      </c>
    </row>
    <row r="67" spans="1:3">
      <c r="A67">
        <v>40</v>
      </c>
      <c r="B67">
        <v>3</v>
      </c>
      <c r="C67">
        <v>87</v>
      </c>
    </row>
    <row r="68" spans="1:3">
      <c r="A68">
        <v>5</v>
      </c>
      <c r="B68">
        <v>6</v>
      </c>
      <c r="C68">
        <v>51</v>
      </c>
    </row>
    <row r="69" spans="1:3">
      <c r="A69">
        <v>12</v>
      </c>
      <c r="B69">
        <v>2</v>
      </c>
      <c r="C69">
        <v>234</v>
      </c>
    </row>
    <row r="70" spans="1:3">
      <c r="A70">
        <v>16</v>
      </c>
      <c r="B70">
        <v>4</v>
      </c>
      <c r="C70">
        <v>56</v>
      </c>
    </row>
    <row r="71" spans="1:3">
      <c r="A71">
        <v>25</v>
      </c>
      <c r="B71">
        <v>4</v>
      </c>
      <c r="C71">
        <v>166</v>
      </c>
    </row>
    <row r="72" spans="1:3">
      <c r="A72">
        <v>28</v>
      </c>
      <c r="B72">
        <v>5</v>
      </c>
      <c r="C72">
        <v>172</v>
      </c>
    </row>
    <row r="73" spans="1:3">
      <c r="A73">
        <v>30</v>
      </c>
      <c r="B73">
        <v>4</v>
      </c>
      <c r="C73">
        <v>204</v>
      </c>
    </row>
    <row r="74" spans="1:3">
      <c r="A74">
        <v>35</v>
      </c>
      <c r="B74">
        <v>4</v>
      </c>
      <c r="C74">
        <v>164</v>
      </c>
    </row>
    <row r="75" spans="1:3">
      <c r="A75">
        <v>1</v>
      </c>
      <c r="B75">
        <v>2</v>
      </c>
      <c r="C75">
        <v>160</v>
      </c>
    </row>
    <row r="76" spans="1:3">
      <c r="A76">
        <v>4</v>
      </c>
      <c r="B76">
        <v>3</v>
      </c>
      <c r="C76">
        <v>25</v>
      </c>
    </row>
    <row r="77" spans="1:3">
      <c r="A77">
        <v>6</v>
      </c>
      <c r="B77">
        <v>3</v>
      </c>
      <c r="C77">
        <v>24</v>
      </c>
    </row>
    <row r="78" spans="1:3">
      <c r="A78">
        <v>15</v>
      </c>
      <c r="B78">
        <v>3</v>
      </c>
      <c r="C78">
        <v>109</v>
      </c>
    </row>
    <row r="79" spans="1:3">
      <c r="A79">
        <v>23</v>
      </c>
      <c r="B79">
        <v>4</v>
      </c>
      <c r="C79">
        <v>27</v>
      </c>
    </row>
    <row r="80" spans="1:3">
      <c r="A80">
        <v>36</v>
      </c>
      <c r="B80">
        <v>4</v>
      </c>
      <c r="C80">
        <v>127</v>
      </c>
    </row>
    <row r="81" spans="1:3">
      <c r="A81">
        <v>44</v>
      </c>
      <c r="B81">
        <v>5</v>
      </c>
      <c r="C81">
        <v>239</v>
      </c>
    </row>
    <row r="82" spans="1:3">
      <c r="A82">
        <v>1</v>
      </c>
      <c r="B82">
        <v>5</v>
      </c>
      <c r="C82">
        <v>30</v>
      </c>
    </row>
    <row r="83" spans="1:3">
      <c r="A83">
        <v>4</v>
      </c>
      <c r="B83">
        <v>2</v>
      </c>
      <c r="C83">
        <v>209</v>
      </c>
    </row>
    <row r="84" spans="1:3">
      <c r="A84">
        <v>15</v>
      </c>
      <c r="B84">
        <v>2</v>
      </c>
      <c r="C84">
        <v>99</v>
      </c>
    </row>
    <row r="85" spans="1:3">
      <c r="A85">
        <v>33</v>
      </c>
      <c r="B85">
        <v>3</v>
      </c>
      <c r="C85">
        <v>103</v>
      </c>
    </row>
    <row r="86" spans="1:3">
      <c r="A86">
        <v>36</v>
      </c>
      <c r="B86">
        <v>5</v>
      </c>
      <c r="C86">
        <v>101</v>
      </c>
    </row>
    <row r="87" spans="1:3">
      <c r="A87">
        <v>1</v>
      </c>
      <c r="B87">
        <v>3</v>
      </c>
      <c r="C87">
        <v>84</v>
      </c>
    </row>
    <row r="88" spans="1:3">
      <c r="A88">
        <v>4</v>
      </c>
      <c r="B88">
        <v>5</v>
      </c>
      <c r="C88">
        <v>25</v>
      </c>
    </row>
    <row r="89" spans="1:3">
      <c r="A89">
        <v>6</v>
      </c>
      <c r="B89">
        <v>6</v>
      </c>
      <c r="C89">
        <v>66</v>
      </c>
    </row>
    <row r="90" spans="1:3">
      <c r="A90">
        <v>15</v>
      </c>
      <c r="B90">
        <v>1</v>
      </c>
      <c r="C90">
        <v>61</v>
      </c>
    </row>
    <row r="91" spans="1:3">
      <c r="A91">
        <v>23</v>
      </c>
      <c r="B91">
        <v>6</v>
      </c>
      <c r="C91">
        <v>168</v>
      </c>
    </row>
    <row r="92" spans="1:3">
      <c r="A92">
        <v>33</v>
      </c>
      <c r="B92">
        <v>6</v>
      </c>
      <c r="C92">
        <v>173</v>
      </c>
    </row>
    <row r="93" spans="1:3">
      <c r="A93">
        <v>44</v>
      </c>
      <c r="B93">
        <v>4</v>
      </c>
      <c r="C93">
        <v>20</v>
      </c>
    </row>
    <row r="94" spans="1:3">
      <c r="A94">
        <v>3</v>
      </c>
      <c r="B94">
        <v>5</v>
      </c>
      <c r="C94">
        <v>180</v>
      </c>
    </row>
    <row r="95" spans="1:3">
      <c r="A95">
        <v>9</v>
      </c>
      <c r="B95">
        <v>4</v>
      </c>
      <c r="C95">
        <v>99</v>
      </c>
    </row>
    <row r="96" spans="1:3">
      <c r="A96">
        <v>11</v>
      </c>
      <c r="B96">
        <v>4</v>
      </c>
      <c r="C96">
        <v>235</v>
      </c>
    </row>
    <row r="97" spans="1:3">
      <c r="A97">
        <v>13</v>
      </c>
      <c r="B97">
        <v>4</v>
      </c>
      <c r="C97">
        <v>225</v>
      </c>
    </row>
    <row r="98" spans="1:3">
      <c r="A98">
        <v>14</v>
      </c>
      <c r="B98">
        <v>6</v>
      </c>
      <c r="C98">
        <v>26</v>
      </c>
    </row>
    <row r="99" spans="1:3">
      <c r="A99">
        <v>32</v>
      </c>
      <c r="B99">
        <v>1</v>
      </c>
      <c r="C99">
        <v>93</v>
      </c>
    </row>
    <row r="100" spans="1:3">
      <c r="A100">
        <v>42</v>
      </c>
      <c r="B100">
        <v>4</v>
      </c>
      <c r="C100">
        <v>217</v>
      </c>
    </row>
    <row r="101" spans="1:3">
      <c r="A101">
        <v>46</v>
      </c>
      <c r="B101">
        <v>4</v>
      </c>
      <c r="C101">
        <v>66</v>
      </c>
    </row>
    <row r="102" spans="1:3">
      <c r="A102">
        <v>3</v>
      </c>
      <c r="B102">
        <v>6</v>
      </c>
      <c r="C102">
        <v>18</v>
      </c>
    </row>
    <row r="103" spans="1:3">
      <c r="A103">
        <v>11</v>
      </c>
      <c r="B103">
        <v>2</v>
      </c>
      <c r="C103">
        <v>53</v>
      </c>
    </row>
    <row r="104" spans="1:3">
      <c r="A104">
        <v>13</v>
      </c>
      <c r="B104">
        <v>1</v>
      </c>
      <c r="C104">
        <v>201</v>
      </c>
    </row>
    <row r="105" spans="1:3">
      <c r="A105">
        <v>14</v>
      </c>
      <c r="B105">
        <v>2</v>
      </c>
      <c r="C105">
        <v>227</v>
      </c>
    </row>
    <row r="106" spans="1:3">
      <c r="A106">
        <v>22</v>
      </c>
      <c r="B106">
        <v>5</v>
      </c>
      <c r="C106">
        <v>241</v>
      </c>
    </row>
    <row r="107" spans="1:3">
      <c r="A107">
        <v>24</v>
      </c>
      <c r="B107">
        <v>6</v>
      </c>
      <c r="C107">
        <v>214</v>
      </c>
    </row>
    <row r="108" spans="1:3">
      <c r="A108">
        <v>32</v>
      </c>
      <c r="B108">
        <v>4</v>
      </c>
      <c r="C108">
        <v>122</v>
      </c>
    </row>
    <row r="109" spans="1:3">
      <c r="A109">
        <v>42</v>
      </c>
      <c r="B109">
        <v>5</v>
      </c>
      <c r="C109">
        <v>120</v>
      </c>
    </row>
    <row r="110" spans="1:3">
      <c r="A110">
        <v>3</v>
      </c>
      <c r="B110">
        <v>3</v>
      </c>
      <c r="C110">
        <v>202</v>
      </c>
    </row>
    <row r="111" spans="1:3">
      <c r="A111">
        <v>9</v>
      </c>
      <c r="B111">
        <v>1</v>
      </c>
      <c r="C111">
        <v>119</v>
      </c>
    </row>
    <row r="112" spans="1:3">
      <c r="A112">
        <v>22</v>
      </c>
      <c r="B112">
        <v>3</v>
      </c>
      <c r="C112">
        <v>176</v>
      </c>
    </row>
    <row r="113" spans="1:3">
      <c r="A113">
        <v>24</v>
      </c>
      <c r="B113">
        <v>2</v>
      </c>
      <c r="C113">
        <v>179</v>
      </c>
    </row>
    <row r="114" spans="1:3">
      <c r="A114">
        <v>3</v>
      </c>
      <c r="B114">
        <v>2</v>
      </c>
      <c r="C114">
        <v>170</v>
      </c>
    </row>
    <row r="115" spans="1:3">
      <c r="A115">
        <v>9</v>
      </c>
      <c r="B115">
        <v>3</v>
      </c>
      <c r="C115">
        <v>153</v>
      </c>
    </row>
    <row r="116" spans="1:3">
      <c r="A116">
        <v>13</v>
      </c>
      <c r="B116">
        <v>3</v>
      </c>
      <c r="C116">
        <v>239</v>
      </c>
    </row>
    <row r="117" spans="1:3">
      <c r="A117">
        <v>32</v>
      </c>
      <c r="B117">
        <v>6</v>
      </c>
      <c r="C117">
        <v>209</v>
      </c>
    </row>
    <row r="118" spans="1:3">
      <c r="A118">
        <v>46</v>
      </c>
      <c r="B118">
        <v>5</v>
      </c>
      <c r="C118">
        <v>69</v>
      </c>
    </row>
    <row r="119" spans="1:3">
      <c r="A119">
        <v>8</v>
      </c>
      <c r="B119">
        <v>5</v>
      </c>
      <c r="C119">
        <v>106</v>
      </c>
    </row>
    <row r="120" spans="1:3">
      <c r="A120">
        <v>29</v>
      </c>
      <c r="B120">
        <v>5</v>
      </c>
      <c r="C120">
        <v>94</v>
      </c>
    </row>
    <row r="121" spans="1:3">
      <c r="A121">
        <v>43</v>
      </c>
      <c r="B121">
        <v>1</v>
      </c>
      <c r="C121">
        <v>209</v>
      </c>
    </row>
    <row r="122" spans="1:3">
      <c r="A122">
        <v>45</v>
      </c>
      <c r="B122">
        <v>4</v>
      </c>
      <c r="C122">
        <v>168</v>
      </c>
    </row>
    <row r="123" spans="1:3">
      <c r="A123">
        <v>8</v>
      </c>
      <c r="B123">
        <v>6</v>
      </c>
      <c r="C123">
        <v>178</v>
      </c>
    </row>
    <row r="124" spans="1:3">
      <c r="A124">
        <v>29</v>
      </c>
      <c r="B124">
        <v>3</v>
      </c>
      <c r="C124">
        <v>96</v>
      </c>
    </row>
    <row r="125" spans="1:3">
      <c r="A125">
        <v>8</v>
      </c>
      <c r="B125">
        <v>3</v>
      </c>
      <c r="C125">
        <v>36</v>
      </c>
    </row>
    <row r="126" spans="1:3">
      <c r="A126">
        <v>29</v>
      </c>
      <c r="B126">
        <v>6</v>
      </c>
      <c r="C126">
        <v>17</v>
      </c>
    </row>
    <row r="127" spans="1:3">
      <c r="A127">
        <v>43</v>
      </c>
      <c r="B127">
        <v>6</v>
      </c>
      <c r="C127">
        <v>186</v>
      </c>
    </row>
    <row r="128" spans="1:3">
      <c r="A128">
        <v>8</v>
      </c>
      <c r="B128">
        <v>4</v>
      </c>
      <c r="C128">
        <v>186</v>
      </c>
    </row>
    <row r="129" spans="1:3">
      <c r="A129">
        <v>43</v>
      </c>
      <c r="B129">
        <v>4</v>
      </c>
      <c r="C129">
        <v>18</v>
      </c>
    </row>
    <row r="130" spans="1:3">
      <c r="A130">
        <v>45</v>
      </c>
      <c r="B130">
        <v>5</v>
      </c>
      <c r="C130">
        <v>224</v>
      </c>
    </row>
    <row r="131" spans="1:3">
      <c r="A131">
        <v>29</v>
      </c>
      <c r="B131">
        <v>2</v>
      </c>
      <c r="C131">
        <v>79</v>
      </c>
    </row>
    <row r="132" spans="1:3">
      <c r="A132">
        <v>43</v>
      </c>
      <c r="B132">
        <v>5</v>
      </c>
      <c r="C132">
        <v>220</v>
      </c>
    </row>
  </sheetData>
  <conditionalFormatting sqref="B12">
    <cfRule type="duplicateValues" dxfId="19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ED88B-430F-4E55-8261-DCE8744AE9B4}">
  <dimension ref="A1:E7"/>
  <sheetViews>
    <sheetView zoomScale="115" zoomScaleNormal="115" workbookViewId="0">
      <selection activeCell="D4" sqref="D4"/>
    </sheetView>
  </sheetViews>
  <sheetFormatPr defaultRowHeight="15"/>
  <cols>
    <col min="1" max="1" width="12.7109375" customWidth="1"/>
    <col min="2" max="2" width="33.5703125" customWidth="1"/>
    <col min="3" max="3" width="22.5703125" customWidth="1"/>
    <col min="4" max="4" width="20.42578125" customWidth="1"/>
  </cols>
  <sheetData>
    <row r="1" spans="1:5">
      <c r="A1" t="s">
        <v>46</v>
      </c>
      <c r="B1" t="s">
        <v>48</v>
      </c>
      <c r="C1" t="s">
        <v>49</v>
      </c>
      <c r="D1" t="s">
        <v>50</v>
      </c>
    </row>
    <row r="2" spans="1:5">
      <c r="A2" s="4">
        <v>1</v>
      </c>
      <c r="B2" s="2" t="s">
        <v>51</v>
      </c>
      <c r="C2" s="3">
        <v>5</v>
      </c>
      <c r="D2" s="3">
        <v>2</v>
      </c>
      <c r="E2" s="7"/>
    </row>
    <row r="3" spans="1:5">
      <c r="A3" s="5">
        <v>2</v>
      </c>
      <c r="B3" s="2" t="s">
        <v>52</v>
      </c>
      <c r="C3" s="3">
        <v>1</v>
      </c>
      <c r="D3" s="3">
        <v>0.5</v>
      </c>
    </row>
    <row r="4" spans="1:5">
      <c r="A4" s="5">
        <v>3</v>
      </c>
      <c r="B4" s="2" t="s">
        <v>53</v>
      </c>
      <c r="C4" s="3">
        <v>5</v>
      </c>
      <c r="D4" s="3">
        <v>2.2000000000000002</v>
      </c>
    </row>
    <row r="5" spans="1:5">
      <c r="A5" s="5">
        <v>4</v>
      </c>
      <c r="B5" s="2" t="s">
        <v>54</v>
      </c>
      <c r="C5" s="3">
        <v>4</v>
      </c>
      <c r="D5" s="3">
        <v>1.5</v>
      </c>
    </row>
    <row r="6" spans="1:5">
      <c r="A6" s="5">
        <v>5</v>
      </c>
      <c r="B6" s="2" t="s">
        <v>55</v>
      </c>
      <c r="C6" s="3">
        <v>3</v>
      </c>
      <c r="D6" s="3">
        <v>1.25</v>
      </c>
    </row>
    <row r="7" spans="1:5">
      <c r="A7" s="5">
        <v>6</v>
      </c>
      <c r="B7" s="2" t="s">
        <v>56</v>
      </c>
      <c r="C7" s="3">
        <v>6</v>
      </c>
      <c r="D7" s="3">
        <v>2.75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9DA0-8FDD-4D7D-B10D-D3432BADB250}">
  <dimension ref="A1:Q132"/>
  <sheetViews>
    <sheetView tabSelected="1" zoomScale="25" zoomScaleNormal="25" workbookViewId="0">
      <selection activeCell="L5" sqref="L5"/>
    </sheetView>
  </sheetViews>
  <sheetFormatPr defaultColWidth="30" defaultRowHeight="15"/>
  <cols>
    <col min="1" max="1" width="12" bestFit="1" customWidth="1"/>
    <col min="2" max="2" width="14.28515625" bestFit="1" customWidth="1"/>
    <col min="3" max="3" width="14.5703125" bestFit="1" customWidth="1"/>
    <col min="4" max="4" width="13.140625" bestFit="1" customWidth="1"/>
    <col min="5" max="5" width="30.5703125" bestFit="1" customWidth="1"/>
    <col min="6" max="6" width="21.85546875" bestFit="1" customWidth="1"/>
    <col min="7" max="7" width="18" bestFit="1" customWidth="1"/>
    <col min="8" max="8" width="12.85546875" bestFit="1" customWidth="1"/>
    <col min="9" max="9" width="15.5703125" bestFit="1" customWidth="1"/>
    <col min="10" max="10" width="30.28515625" bestFit="1" customWidth="1"/>
    <col min="11" max="11" width="12.85546875" bestFit="1" customWidth="1"/>
    <col min="12" max="12" width="23.7109375" bestFit="1" customWidth="1"/>
    <col min="13" max="13" width="12.5703125" bestFit="1" customWidth="1"/>
    <col min="14" max="14" width="9.7109375" bestFit="1" customWidth="1"/>
    <col min="15" max="15" width="7.85546875" bestFit="1" customWidth="1"/>
    <col min="16" max="16" width="12.85546875" bestFit="1" customWidth="1"/>
    <col min="17" max="17" width="21.140625" customWidth="1"/>
  </cols>
  <sheetData>
    <row r="1" spans="1:17">
      <c r="A1" t="s">
        <v>43</v>
      </c>
      <c r="B1" t="s">
        <v>44</v>
      </c>
      <c r="C1" t="s">
        <v>45</v>
      </c>
      <c r="D1" t="s">
        <v>46</v>
      </c>
      <c r="E1" t="s">
        <v>48</v>
      </c>
      <c r="F1" t="s">
        <v>49</v>
      </c>
      <c r="G1" t="s">
        <v>50</v>
      </c>
      <c r="H1" t="s">
        <v>47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</row>
    <row r="2" spans="1:17">
      <c r="A2">
        <v>1</v>
      </c>
      <c r="B2" s="1">
        <v>44562</v>
      </c>
      <c r="C2">
        <v>1815</v>
      </c>
      <c r="D2">
        <v>1</v>
      </c>
      <c r="E2" t="s">
        <v>51</v>
      </c>
      <c r="F2">
        <v>5</v>
      </c>
      <c r="G2">
        <v>2</v>
      </c>
      <c r="H2">
        <v>229</v>
      </c>
      <c r="I2" cm="1">
        <f t="array" ref="I2">_xlfn.XLOOKUP(Table72[[#This Row],[OrderID]],Table3[[#All],[OrderID]],Table3[[#All],[CustomerID]])</f>
        <v>5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57</v>
      </c>
      <c r="P2" t="s">
        <v>14</v>
      </c>
      <c r="Q2" t="s">
        <v>39</v>
      </c>
    </row>
    <row r="3" spans="1:17">
      <c r="A3">
        <v>1</v>
      </c>
      <c r="B3" s="1">
        <v>44562</v>
      </c>
      <c r="C3">
        <v>1815</v>
      </c>
      <c r="D3">
        <v>2</v>
      </c>
      <c r="E3" t="s">
        <v>52</v>
      </c>
      <c r="F3">
        <v>1</v>
      </c>
      <c r="G3">
        <v>0.5</v>
      </c>
      <c r="H3">
        <v>160</v>
      </c>
      <c r="I3" cm="1">
        <f t="array" ref="I3">_xlfn.XLOOKUP(Table72[[#This Row],[OrderID]],Table3[[#All],[OrderID]],Table3[[#All],[CustomerID]])</f>
        <v>5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57</v>
      </c>
      <c r="P3" t="s">
        <v>14</v>
      </c>
      <c r="Q3" t="s">
        <v>39</v>
      </c>
    </row>
    <row r="4" spans="1:17">
      <c r="A4">
        <v>1</v>
      </c>
      <c r="B4" s="1">
        <v>44562</v>
      </c>
      <c r="C4">
        <v>1815</v>
      </c>
      <c r="D4">
        <v>5</v>
      </c>
      <c r="E4" t="s">
        <v>55</v>
      </c>
      <c r="F4">
        <v>3</v>
      </c>
      <c r="G4">
        <v>1.25</v>
      </c>
      <c r="H4">
        <v>30</v>
      </c>
      <c r="I4" cm="1">
        <f t="array" ref="I4">_xlfn.XLOOKUP(Table72[[#This Row],[OrderID]],Table3[[#All],[OrderID]],Table3[[#All],[CustomerID]])</f>
        <v>5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57</v>
      </c>
      <c r="P4" t="s">
        <v>14</v>
      </c>
      <c r="Q4" t="s">
        <v>39</v>
      </c>
    </row>
    <row r="5" spans="1:17">
      <c r="A5">
        <v>1</v>
      </c>
      <c r="B5" s="1">
        <v>44562</v>
      </c>
      <c r="C5">
        <v>1815</v>
      </c>
      <c r="D5">
        <v>3</v>
      </c>
      <c r="E5" t="s">
        <v>53</v>
      </c>
      <c r="F5">
        <v>5</v>
      </c>
      <c r="G5">
        <v>2.2000000000000002</v>
      </c>
      <c r="H5">
        <v>84</v>
      </c>
      <c r="I5" cm="1">
        <f t="array" ref="I5">_xlfn.XLOOKUP(Table72[[#This Row],[OrderID]],Table3[[#All],[OrderID]],Table3[[#All],[CustomerID]])</f>
        <v>5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57</v>
      </c>
      <c r="P5" t="s">
        <v>14</v>
      </c>
      <c r="Q5" t="s">
        <v>39</v>
      </c>
    </row>
    <row r="6" spans="1:17">
      <c r="A6">
        <v>2</v>
      </c>
      <c r="B6" s="1">
        <v>44563</v>
      </c>
      <c r="C6">
        <v>964</v>
      </c>
      <c r="D6">
        <v>4</v>
      </c>
      <c r="E6" t="s">
        <v>54</v>
      </c>
      <c r="F6">
        <v>4</v>
      </c>
      <c r="G6">
        <v>1.5</v>
      </c>
      <c r="H6">
        <v>49</v>
      </c>
      <c r="I6" cm="1">
        <f t="array" ref="I6">_xlfn.XLOOKUP(Table72[[#This Row],[OrderID]],Table3[[#All],[OrderID]],Table3[[#All],[CustomerID]])</f>
        <v>5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57</v>
      </c>
      <c r="P6" t="s">
        <v>14</v>
      </c>
      <c r="Q6" t="s">
        <v>39</v>
      </c>
    </row>
    <row r="7" spans="1:17">
      <c r="A7">
        <v>2</v>
      </c>
      <c r="B7" s="1">
        <v>44563</v>
      </c>
      <c r="C7">
        <v>964</v>
      </c>
      <c r="D7">
        <v>6</v>
      </c>
      <c r="E7" t="s">
        <v>56</v>
      </c>
      <c r="F7">
        <v>6</v>
      </c>
      <c r="G7">
        <v>2.75</v>
      </c>
      <c r="H7">
        <v>128</v>
      </c>
      <c r="I7" cm="1">
        <f t="array" ref="I7">_xlfn.XLOOKUP(Table72[[#This Row],[OrderID]],Table3[[#All],[OrderID]],Table3[[#All],[CustomerID]])</f>
        <v>5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57</v>
      </c>
      <c r="P7" t="s">
        <v>14</v>
      </c>
      <c r="Q7" t="s">
        <v>39</v>
      </c>
    </row>
    <row r="8" spans="1:17">
      <c r="A8">
        <v>3</v>
      </c>
      <c r="B8" s="1">
        <v>44565</v>
      </c>
      <c r="C8">
        <v>2238</v>
      </c>
      <c r="D8">
        <v>1</v>
      </c>
      <c r="E8" t="s">
        <v>51</v>
      </c>
      <c r="F8">
        <v>5</v>
      </c>
      <c r="G8">
        <v>2</v>
      </c>
      <c r="H8">
        <v>82</v>
      </c>
      <c r="I8" cm="1">
        <f t="array" ref="I8">_xlfn.XLOOKUP(Table72[[#This Row],[OrderID]],Table3[[#All],[OrderID]],Table3[[#All],[CustomerID]])</f>
        <v>2</v>
      </c>
      <c r="J8" t="s">
        <v>16</v>
      </c>
      <c r="K8" t="s">
        <v>17</v>
      </c>
      <c r="L8" t="s">
        <v>18</v>
      </c>
      <c r="M8" t="s">
        <v>19</v>
      </c>
      <c r="N8" t="s">
        <v>20</v>
      </c>
      <c r="O8" t="s">
        <v>58</v>
      </c>
      <c r="P8" t="s">
        <v>14</v>
      </c>
      <c r="Q8" t="s">
        <v>21</v>
      </c>
    </row>
    <row r="9" spans="1:17">
      <c r="A9">
        <v>3</v>
      </c>
      <c r="B9" s="1">
        <v>44565</v>
      </c>
      <c r="C9">
        <v>2238</v>
      </c>
      <c r="D9">
        <v>5</v>
      </c>
      <c r="E9" t="s">
        <v>55</v>
      </c>
      <c r="F9">
        <v>3</v>
      </c>
      <c r="G9">
        <v>1.25</v>
      </c>
      <c r="H9">
        <v>180</v>
      </c>
      <c r="I9" cm="1">
        <f t="array" ref="I9">_xlfn.XLOOKUP(Table72[[#This Row],[OrderID]],Table3[[#All],[OrderID]],Table3[[#All],[CustomerID]])</f>
        <v>2</v>
      </c>
      <c r="J9" t="s">
        <v>16</v>
      </c>
      <c r="K9" t="s">
        <v>17</v>
      </c>
      <c r="L9" t="s">
        <v>18</v>
      </c>
      <c r="M9" t="s">
        <v>19</v>
      </c>
      <c r="N9" t="s">
        <v>20</v>
      </c>
      <c r="O9" t="s">
        <v>58</v>
      </c>
      <c r="P9" t="s">
        <v>14</v>
      </c>
      <c r="Q9" t="s">
        <v>21</v>
      </c>
    </row>
    <row r="10" spans="1:17">
      <c r="A10">
        <v>3</v>
      </c>
      <c r="B10" s="1">
        <v>44565</v>
      </c>
      <c r="C10">
        <v>2238</v>
      </c>
      <c r="D10">
        <v>6</v>
      </c>
      <c r="E10" t="s">
        <v>56</v>
      </c>
      <c r="F10">
        <v>6</v>
      </c>
      <c r="G10">
        <v>2.75</v>
      </c>
      <c r="H10">
        <v>18</v>
      </c>
      <c r="I10" cm="1">
        <f t="array" ref="I10">_xlfn.XLOOKUP(Table72[[#This Row],[OrderID]],Table3[[#All],[OrderID]],Table3[[#All],[CustomerID]])</f>
        <v>2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  <c r="O10" t="s">
        <v>58</v>
      </c>
      <c r="P10" t="s">
        <v>14</v>
      </c>
      <c r="Q10" t="s">
        <v>21</v>
      </c>
    </row>
    <row r="11" spans="1:17">
      <c r="A11">
        <v>3</v>
      </c>
      <c r="B11" s="1">
        <v>44565</v>
      </c>
      <c r="C11">
        <v>2238</v>
      </c>
      <c r="D11">
        <v>3</v>
      </c>
      <c r="E11" t="s">
        <v>53</v>
      </c>
      <c r="F11">
        <v>5</v>
      </c>
      <c r="G11">
        <v>2.2000000000000002</v>
      </c>
      <c r="H11">
        <v>202</v>
      </c>
      <c r="I11" cm="1">
        <f t="array" ref="I11">_xlfn.XLOOKUP(Table72[[#This Row],[OrderID]],Table3[[#All],[OrderID]],Table3[[#All],[CustomerID]])</f>
        <v>2</v>
      </c>
      <c r="J11" t="s">
        <v>16</v>
      </c>
      <c r="K11" t="s">
        <v>17</v>
      </c>
      <c r="L11" t="s">
        <v>18</v>
      </c>
      <c r="M11" t="s">
        <v>19</v>
      </c>
      <c r="N11" t="s">
        <v>20</v>
      </c>
      <c r="O11" t="s">
        <v>58</v>
      </c>
      <c r="P11" t="s">
        <v>14</v>
      </c>
      <c r="Q11" t="s">
        <v>21</v>
      </c>
    </row>
    <row r="12" spans="1:17">
      <c r="A12">
        <v>3</v>
      </c>
      <c r="B12" s="1">
        <v>44565</v>
      </c>
      <c r="C12">
        <v>2238</v>
      </c>
      <c r="D12">
        <v>2</v>
      </c>
      <c r="E12" t="s">
        <v>52</v>
      </c>
      <c r="F12">
        <v>1</v>
      </c>
      <c r="G12">
        <v>0.5</v>
      </c>
      <c r="H12">
        <v>170</v>
      </c>
      <c r="I12" cm="1">
        <f t="array" ref="I12">_xlfn.XLOOKUP(Table72[[#This Row],[OrderID]],Table3[[#All],[OrderID]],Table3[[#All],[CustomerID]])</f>
        <v>2</v>
      </c>
      <c r="J12" t="s">
        <v>16</v>
      </c>
      <c r="K12" t="s">
        <v>17</v>
      </c>
      <c r="L12" t="s">
        <v>18</v>
      </c>
      <c r="M12" t="s">
        <v>19</v>
      </c>
      <c r="N12" t="s">
        <v>20</v>
      </c>
      <c r="O12" t="s">
        <v>58</v>
      </c>
      <c r="P12" t="s">
        <v>14</v>
      </c>
      <c r="Q12" t="s">
        <v>21</v>
      </c>
    </row>
    <row r="13" spans="1:17">
      <c r="A13">
        <v>4</v>
      </c>
      <c r="B13" s="1">
        <v>44567</v>
      </c>
      <c r="C13">
        <v>737</v>
      </c>
      <c r="D13">
        <v>4</v>
      </c>
      <c r="E13" t="s">
        <v>54</v>
      </c>
      <c r="F13">
        <v>4</v>
      </c>
      <c r="G13">
        <v>1.5</v>
      </c>
      <c r="H13">
        <v>82</v>
      </c>
      <c r="I13" cm="1">
        <f t="array" ref="I13">_xlfn.XLOOKUP(Table72[[#This Row],[OrderID]],Table3[[#All],[OrderID]],Table3[[#All],[CustomerID]])</f>
        <v>1</v>
      </c>
      <c r="J13" t="s">
        <v>9</v>
      </c>
      <c r="K13" t="s">
        <v>10</v>
      </c>
      <c r="L13" t="s">
        <v>11</v>
      </c>
      <c r="M13" t="s">
        <v>12</v>
      </c>
      <c r="N13" t="s">
        <v>13</v>
      </c>
      <c r="O13" t="s">
        <v>59</v>
      </c>
      <c r="P13" t="s">
        <v>14</v>
      </c>
      <c r="Q13" t="s">
        <v>15</v>
      </c>
    </row>
    <row r="14" spans="1:17">
      <c r="A14">
        <v>4</v>
      </c>
      <c r="B14" s="1">
        <v>44567</v>
      </c>
      <c r="C14">
        <v>737</v>
      </c>
      <c r="D14">
        <v>3</v>
      </c>
      <c r="E14" t="s">
        <v>53</v>
      </c>
      <c r="F14">
        <v>5</v>
      </c>
      <c r="G14">
        <v>2.2000000000000002</v>
      </c>
      <c r="H14">
        <v>25</v>
      </c>
      <c r="I14" cm="1">
        <f t="array" ref="I14">_xlfn.XLOOKUP(Table72[[#This Row],[OrderID]],Table3[[#All],[OrderID]],Table3[[#All],[CustomerID]])</f>
        <v>1</v>
      </c>
      <c r="J14" t="s">
        <v>9</v>
      </c>
      <c r="K14" t="s">
        <v>10</v>
      </c>
      <c r="L14" t="s">
        <v>11</v>
      </c>
      <c r="M14" t="s">
        <v>12</v>
      </c>
      <c r="N14" t="s">
        <v>13</v>
      </c>
      <c r="O14" t="s">
        <v>59</v>
      </c>
      <c r="P14" t="s">
        <v>14</v>
      </c>
      <c r="Q14" t="s">
        <v>15</v>
      </c>
    </row>
    <row r="15" spans="1:17">
      <c r="A15">
        <v>4</v>
      </c>
      <c r="B15" s="1">
        <v>44567</v>
      </c>
      <c r="C15">
        <v>737</v>
      </c>
      <c r="D15">
        <v>2</v>
      </c>
      <c r="E15" t="s">
        <v>52</v>
      </c>
      <c r="F15">
        <v>1</v>
      </c>
      <c r="G15">
        <v>0.5</v>
      </c>
      <c r="H15">
        <v>209</v>
      </c>
      <c r="I15" cm="1">
        <f t="array" ref="I15">_xlfn.XLOOKUP(Table72[[#This Row],[OrderID]],Table3[[#All],[OrderID]],Table3[[#All],[CustomerID]])</f>
        <v>1</v>
      </c>
      <c r="J15" t="s">
        <v>9</v>
      </c>
      <c r="K15" t="s">
        <v>10</v>
      </c>
      <c r="L15" t="s">
        <v>11</v>
      </c>
      <c r="M15" t="s">
        <v>12</v>
      </c>
      <c r="N15" t="s">
        <v>13</v>
      </c>
      <c r="O15" t="s">
        <v>59</v>
      </c>
      <c r="P15" t="s">
        <v>14</v>
      </c>
      <c r="Q15" t="s">
        <v>15</v>
      </c>
    </row>
    <row r="16" spans="1:17">
      <c r="A16">
        <v>4</v>
      </c>
      <c r="B16" s="1">
        <v>44567</v>
      </c>
      <c r="C16">
        <v>737</v>
      </c>
      <c r="D16">
        <v>5</v>
      </c>
      <c r="E16" t="s">
        <v>55</v>
      </c>
      <c r="F16">
        <v>3</v>
      </c>
      <c r="G16">
        <v>1.25</v>
      </c>
      <c r="H16">
        <v>25</v>
      </c>
      <c r="I16" cm="1">
        <f t="array" ref="I16">_xlfn.XLOOKUP(Table72[[#This Row],[OrderID]],Table3[[#All],[OrderID]],Table3[[#All],[CustomerID]])</f>
        <v>1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59</v>
      </c>
      <c r="P16" t="s">
        <v>14</v>
      </c>
      <c r="Q16" t="s">
        <v>15</v>
      </c>
    </row>
    <row r="17" spans="1:17">
      <c r="A17">
        <v>5</v>
      </c>
      <c r="B17" s="1">
        <v>44570</v>
      </c>
      <c r="C17">
        <v>569</v>
      </c>
      <c r="D17">
        <v>5</v>
      </c>
      <c r="E17" t="s">
        <v>55</v>
      </c>
      <c r="F17">
        <v>3</v>
      </c>
      <c r="G17">
        <v>1.25</v>
      </c>
      <c r="H17">
        <v>11</v>
      </c>
      <c r="I17" cm="1">
        <f t="array" ref="I17">_xlfn.XLOOKUP(Table72[[#This Row],[OrderID]],Table3[[#All],[OrderID]],Table3[[#All],[CustomerID]])</f>
        <v>4</v>
      </c>
      <c r="J17" t="s">
        <v>28</v>
      </c>
      <c r="K17" t="s">
        <v>29</v>
      </c>
      <c r="L17" t="s">
        <v>30</v>
      </c>
      <c r="M17" t="s">
        <v>31</v>
      </c>
      <c r="N17" t="s">
        <v>32</v>
      </c>
      <c r="O17" t="s">
        <v>60</v>
      </c>
      <c r="P17" t="s">
        <v>14</v>
      </c>
      <c r="Q17" t="s">
        <v>33</v>
      </c>
    </row>
    <row r="18" spans="1:17">
      <c r="A18">
        <v>5</v>
      </c>
      <c r="B18" s="1">
        <v>44570</v>
      </c>
      <c r="C18">
        <v>569</v>
      </c>
      <c r="D18">
        <v>1</v>
      </c>
      <c r="E18" t="s">
        <v>51</v>
      </c>
      <c r="F18">
        <v>5</v>
      </c>
      <c r="G18">
        <v>2</v>
      </c>
      <c r="H18">
        <v>46</v>
      </c>
      <c r="I18" cm="1">
        <f t="array" ref="I18">_xlfn.XLOOKUP(Table72[[#This Row],[OrderID]],Table3[[#All],[OrderID]],Table3[[#All],[CustomerID]])</f>
        <v>4</v>
      </c>
      <c r="J18" t="s">
        <v>28</v>
      </c>
      <c r="K18" t="s">
        <v>29</v>
      </c>
      <c r="L18" t="s">
        <v>30</v>
      </c>
      <c r="M18" t="s">
        <v>31</v>
      </c>
      <c r="N18" t="s">
        <v>32</v>
      </c>
      <c r="O18" t="s">
        <v>60</v>
      </c>
      <c r="P18" t="s">
        <v>14</v>
      </c>
      <c r="Q18" t="s">
        <v>33</v>
      </c>
    </row>
    <row r="19" spans="1:17">
      <c r="A19">
        <v>5</v>
      </c>
      <c r="B19" s="1">
        <v>44570</v>
      </c>
      <c r="C19">
        <v>569</v>
      </c>
      <c r="D19">
        <v>6</v>
      </c>
      <c r="E19" t="s">
        <v>56</v>
      </c>
      <c r="F19">
        <v>6</v>
      </c>
      <c r="G19">
        <v>2.75</v>
      </c>
      <c r="H19">
        <v>51</v>
      </c>
      <c r="I19" cm="1">
        <f t="array" ref="I19">_xlfn.XLOOKUP(Table72[[#This Row],[OrderID]],Table3[[#All],[OrderID]],Table3[[#All],[CustomerID]])</f>
        <v>4</v>
      </c>
      <c r="J19" t="s">
        <v>28</v>
      </c>
      <c r="K19" t="s">
        <v>29</v>
      </c>
      <c r="L19" t="s">
        <v>30</v>
      </c>
      <c r="M19" t="s">
        <v>31</v>
      </c>
      <c r="N19" t="s">
        <v>32</v>
      </c>
      <c r="O19" t="s">
        <v>60</v>
      </c>
      <c r="P19" t="s">
        <v>14</v>
      </c>
      <c r="Q19" t="s">
        <v>33</v>
      </c>
    </row>
    <row r="20" spans="1:17">
      <c r="A20">
        <v>6</v>
      </c>
      <c r="B20" s="1">
        <v>44570</v>
      </c>
      <c r="C20">
        <v>1586</v>
      </c>
      <c r="D20">
        <v>1</v>
      </c>
      <c r="E20" t="s">
        <v>51</v>
      </c>
      <c r="F20">
        <v>5</v>
      </c>
      <c r="G20">
        <v>2</v>
      </c>
      <c r="H20">
        <v>214</v>
      </c>
      <c r="I20" cm="1">
        <f t="array" ref="I20">_xlfn.XLOOKUP(Table72[[#This Row],[OrderID]],Table3[[#All],[OrderID]],Table3[[#All],[CustomerID]])</f>
        <v>4</v>
      </c>
      <c r="J20" t="s">
        <v>28</v>
      </c>
      <c r="K20" t="s">
        <v>29</v>
      </c>
      <c r="L20" t="s">
        <v>30</v>
      </c>
      <c r="M20" t="s">
        <v>31</v>
      </c>
      <c r="N20" t="s">
        <v>32</v>
      </c>
      <c r="O20" t="s">
        <v>60</v>
      </c>
      <c r="P20" t="s">
        <v>14</v>
      </c>
      <c r="Q20" t="s">
        <v>33</v>
      </c>
    </row>
    <row r="21" spans="1:17">
      <c r="A21">
        <v>6</v>
      </c>
      <c r="B21" s="1">
        <v>44570</v>
      </c>
      <c r="C21">
        <v>1586</v>
      </c>
      <c r="D21">
        <v>3</v>
      </c>
      <c r="E21" t="s">
        <v>53</v>
      </c>
      <c r="F21">
        <v>5</v>
      </c>
      <c r="G21">
        <v>2.2000000000000002</v>
      </c>
      <c r="H21">
        <v>24</v>
      </c>
      <c r="I21" cm="1">
        <f t="array" ref="I21">_xlfn.XLOOKUP(Table72[[#This Row],[OrderID]],Table3[[#All],[OrderID]],Table3[[#All],[CustomerID]])</f>
        <v>4</v>
      </c>
      <c r="J21" t="s">
        <v>28</v>
      </c>
      <c r="K21" t="s">
        <v>29</v>
      </c>
      <c r="L21" t="s">
        <v>30</v>
      </c>
      <c r="M21" t="s">
        <v>31</v>
      </c>
      <c r="N21" t="s">
        <v>32</v>
      </c>
      <c r="O21" t="s">
        <v>60</v>
      </c>
      <c r="P21" t="s">
        <v>14</v>
      </c>
      <c r="Q21" t="s">
        <v>33</v>
      </c>
    </row>
    <row r="22" spans="1:17">
      <c r="A22">
        <v>6</v>
      </c>
      <c r="B22" s="1">
        <v>44570</v>
      </c>
      <c r="C22">
        <v>1586</v>
      </c>
      <c r="D22">
        <v>6</v>
      </c>
      <c r="E22" t="s">
        <v>56</v>
      </c>
      <c r="F22">
        <v>6</v>
      </c>
      <c r="G22">
        <v>2.75</v>
      </c>
      <c r="H22">
        <v>66</v>
      </c>
      <c r="I22" cm="1">
        <f t="array" ref="I22">_xlfn.XLOOKUP(Table72[[#This Row],[OrderID]],Table3[[#All],[OrderID]],Table3[[#All],[CustomerID]])</f>
        <v>4</v>
      </c>
      <c r="J22" t="s">
        <v>28</v>
      </c>
      <c r="K22" t="s">
        <v>29</v>
      </c>
      <c r="L22" t="s">
        <v>30</v>
      </c>
      <c r="M22" t="s">
        <v>31</v>
      </c>
      <c r="N22" t="s">
        <v>32</v>
      </c>
      <c r="O22" t="s">
        <v>60</v>
      </c>
      <c r="P22" t="s">
        <v>14</v>
      </c>
      <c r="Q22" t="s">
        <v>33</v>
      </c>
    </row>
    <row r="23" spans="1:17">
      <c r="A23">
        <v>7</v>
      </c>
      <c r="B23" s="1">
        <v>44570</v>
      </c>
      <c r="C23">
        <v>210</v>
      </c>
      <c r="D23">
        <v>2</v>
      </c>
      <c r="E23" t="s">
        <v>52</v>
      </c>
      <c r="F23">
        <v>1</v>
      </c>
      <c r="G23">
        <v>0.5</v>
      </c>
      <c r="H23">
        <v>210</v>
      </c>
      <c r="I23" cm="1">
        <f t="array" ref="I23">_xlfn.XLOOKUP(Table72[[#This Row],[OrderID]],Table3[[#All],[OrderID]],Table3[[#All],[CustomerID]])</f>
        <v>4</v>
      </c>
      <c r="J23" t="s">
        <v>28</v>
      </c>
      <c r="K23" t="s">
        <v>29</v>
      </c>
      <c r="L23" t="s">
        <v>30</v>
      </c>
      <c r="M23" t="s">
        <v>31</v>
      </c>
      <c r="N23" t="s">
        <v>32</v>
      </c>
      <c r="O23" t="s">
        <v>60</v>
      </c>
      <c r="P23" t="s">
        <v>14</v>
      </c>
      <c r="Q23" t="s">
        <v>33</v>
      </c>
    </row>
    <row r="24" spans="1:17">
      <c r="A24">
        <v>8</v>
      </c>
      <c r="B24" s="1">
        <v>44572</v>
      </c>
      <c r="C24">
        <v>2424</v>
      </c>
      <c r="D24">
        <v>2</v>
      </c>
      <c r="E24" t="s">
        <v>52</v>
      </c>
      <c r="F24">
        <v>1</v>
      </c>
      <c r="G24">
        <v>0.5</v>
      </c>
      <c r="H24">
        <v>114</v>
      </c>
      <c r="I24" cm="1">
        <f t="array" ref="I24">_xlfn.XLOOKUP(Table72[[#This Row],[OrderID]],Table3[[#All],[OrderID]],Table3[[#All],[CustomerID]])</f>
        <v>5</v>
      </c>
      <c r="J24" t="s">
        <v>34</v>
      </c>
      <c r="K24" t="s">
        <v>35</v>
      </c>
      <c r="L24" t="s">
        <v>36</v>
      </c>
      <c r="M24" t="s">
        <v>37</v>
      </c>
      <c r="N24" t="s">
        <v>38</v>
      </c>
      <c r="O24" t="s">
        <v>57</v>
      </c>
      <c r="P24" t="s">
        <v>14</v>
      </c>
      <c r="Q24" t="s">
        <v>39</v>
      </c>
    </row>
    <row r="25" spans="1:17">
      <c r="A25">
        <v>8</v>
      </c>
      <c r="B25" s="1">
        <v>44572</v>
      </c>
      <c r="C25">
        <v>2424</v>
      </c>
      <c r="D25">
        <v>5</v>
      </c>
      <c r="E25" t="s">
        <v>55</v>
      </c>
      <c r="F25">
        <v>3</v>
      </c>
      <c r="G25">
        <v>1.25</v>
      </c>
      <c r="H25">
        <v>106</v>
      </c>
      <c r="I25" cm="1">
        <f t="array" ref="I25">_xlfn.XLOOKUP(Table72[[#This Row],[OrderID]],Table3[[#All],[OrderID]],Table3[[#All],[CustomerID]])</f>
        <v>5</v>
      </c>
      <c r="J25" t="s">
        <v>34</v>
      </c>
      <c r="K25" t="s">
        <v>35</v>
      </c>
      <c r="L25" t="s">
        <v>36</v>
      </c>
      <c r="M25" t="s">
        <v>37</v>
      </c>
      <c r="N25" t="s">
        <v>38</v>
      </c>
      <c r="O25" t="s">
        <v>57</v>
      </c>
      <c r="P25" t="s">
        <v>14</v>
      </c>
      <c r="Q25" t="s">
        <v>39</v>
      </c>
    </row>
    <row r="26" spans="1:17">
      <c r="A26">
        <v>8</v>
      </c>
      <c r="B26" s="1">
        <v>44572</v>
      </c>
      <c r="C26">
        <v>2424</v>
      </c>
      <c r="D26">
        <v>6</v>
      </c>
      <c r="E26" t="s">
        <v>56</v>
      </c>
      <c r="F26">
        <v>6</v>
      </c>
      <c r="G26">
        <v>2.75</v>
      </c>
      <c r="H26">
        <v>178</v>
      </c>
      <c r="I26" cm="1">
        <f t="array" ref="I26">_xlfn.XLOOKUP(Table72[[#This Row],[OrderID]],Table3[[#All],[OrderID]],Table3[[#All],[CustomerID]])</f>
        <v>5</v>
      </c>
      <c r="J26" t="s">
        <v>34</v>
      </c>
      <c r="K26" t="s">
        <v>35</v>
      </c>
      <c r="L26" t="s">
        <v>36</v>
      </c>
      <c r="M26" t="s">
        <v>37</v>
      </c>
      <c r="N26" t="s">
        <v>38</v>
      </c>
      <c r="O26" t="s">
        <v>57</v>
      </c>
      <c r="P26" t="s">
        <v>14</v>
      </c>
      <c r="Q26" t="s">
        <v>39</v>
      </c>
    </row>
    <row r="27" spans="1:17">
      <c r="A27">
        <v>8</v>
      </c>
      <c r="B27" s="1">
        <v>44572</v>
      </c>
      <c r="C27">
        <v>2424</v>
      </c>
      <c r="D27">
        <v>3</v>
      </c>
      <c r="E27" t="s">
        <v>53</v>
      </c>
      <c r="F27">
        <v>5</v>
      </c>
      <c r="G27">
        <v>2.2000000000000002</v>
      </c>
      <c r="H27">
        <v>36</v>
      </c>
      <c r="I27" cm="1">
        <f t="array" ref="I27">_xlfn.XLOOKUP(Table72[[#This Row],[OrderID]],Table3[[#All],[OrderID]],Table3[[#All],[CustomerID]])</f>
        <v>5</v>
      </c>
      <c r="J27" t="s">
        <v>34</v>
      </c>
      <c r="K27" t="s">
        <v>35</v>
      </c>
      <c r="L27" t="s">
        <v>36</v>
      </c>
      <c r="M27" t="s">
        <v>37</v>
      </c>
      <c r="N27" t="s">
        <v>38</v>
      </c>
      <c r="O27" t="s">
        <v>57</v>
      </c>
      <c r="P27" t="s">
        <v>14</v>
      </c>
      <c r="Q27" t="s">
        <v>39</v>
      </c>
    </row>
    <row r="28" spans="1:17">
      <c r="A28">
        <v>8</v>
      </c>
      <c r="B28" s="1">
        <v>44572</v>
      </c>
      <c r="C28">
        <v>2424</v>
      </c>
      <c r="D28">
        <v>4</v>
      </c>
      <c r="E28" t="s">
        <v>54</v>
      </c>
      <c r="F28">
        <v>4</v>
      </c>
      <c r="G28">
        <v>1.5</v>
      </c>
      <c r="H28">
        <v>186</v>
      </c>
      <c r="I28" cm="1">
        <f t="array" ref="I28">_xlfn.XLOOKUP(Table72[[#This Row],[OrderID]],Table3[[#All],[OrderID]],Table3[[#All],[CustomerID]])</f>
        <v>5</v>
      </c>
      <c r="J28" t="s">
        <v>34</v>
      </c>
      <c r="K28" t="s">
        <v>35</v>
      </c>
      <c r="L28" t="s">
        <v>36</v>
      </c>
      <c r="M28" t="s">
        <v>37</v>
      </c>
      <c r="N28" t="s">
        <v>38</v>
      </c>
      <c r="O28" t="s">
        <v>57</v>
      </c>
      <c r="P28" t="s">
        <v>14</v>
      </c>
      <c r="Q28" t="s">
        <v>39</v>
      </c>
    </row>
    <row r="29" spans="1:17">
      <c r="A29">
        <v>9</v>
      </c>
      <c r="B29" s="1">
        <v>44574</v>
      </c>
      <c r="C29">
        <v>1982</v>
      </c>
      <c r="D29">
        <v>2</v>
      </c>
      <c r="E29" t="s">
        <v>52</v>
      </c>
      <c r="F29">
        <v>1</v>
      </c>
      <c r="G29">
        <v>0.5</v>
      </c>
      <c r="H29">
        <v>226</v>
      </c>
      <c r="I29" cm="1">
        <f t="array" ref="I29">_xlfn.XLOOKUP(Table72[[#This Row],[OrderID]],Table3[[#All],[OrderID]],Table3[[#All],[CustomerID]])</f>
        <v>2</v>
      </c>
      <c r="J29" t="s">
        <v>16</v>
      </c>
      <c r="K29" t="s">
        <v>17</v>
      </c>
      <c r="L29" t="s">
        <v>18</v>
      </c>
      <c r="M29" t="s">
        <v>19</v>
      </c>
      <c r="N29" t="s">
        <v>20</v>
      </c>
      <c r="O29" t="s">
        <v>58</v>
      </c>
      <c r="P29" t="s">
        <v>14</v>
      </c>
      <c r="Q29" t="s">
        <v>21</v>
      </c>
    </row>
    <row r="30" spans="1:17">
      <c r="A30">
        <v>9</v>
      </c>
      <c r="B30" s="1">
        <v>44574</v>
      </c>
      <c r="C30">
        <v>1982</v>
      </c>
      <c r="D30">
        <v>4</v>
      </c>
      <c r="E30" t="s">
        <v>54</v>
      </c>
      <c r="F30">
        <v>4</v>
      </c>
      <c r="G30">
        <v>1.5</v>
      </c>
      <c r="H30">
        <v>99</v>
      </c>
      <c r="I30" cm="1">
        <f t="array" ref="I30">_xlfn.XLOOKUP(Table72[[#This Row],[OrderID]],Table3[[#All],[OrderID]],Table3[[#All],[CustomerID]])</f>
        <v>2</v>
      </c>
      <c r="J30" t="s">
        <v>16</v>
      </c>
      <c r="K30" t="s">
        <v>17</v>
      </c>
      <c r="L30" t="s">
        <v>18</v>
      </c>
      <c r="M30" t="s">
        <v>19</v>
      </c>
      <c r="N30" t="s">
        <v>20</v>
      </c>
      <c r="O30" t="s">
        <v>58</v>
      </c>
      <c r="P30" t="s">
        <v>14</v>
      </c>
      <c r="Q30" t="s">
        <v>21</v>
      </c>
    </row>
    <row r="31" spans="1:17">
      <c r="A31">
        <v>9</v>
      </c>
      <c r="B31" s="1">
        <v>44574</v>
      </c>
      <c r="C31">
        <v>1982</v>
      </c>
      <c r="D31">
        <v>1</v>
      </c>
      <c r="E31" t="s">
        <v>51</v>
      </c>
      <c r="F31">
        <v>5</v>
      </c>
      <c r="G31">
        <v>2</v>
      </c>
      <c r="H31">
        <v>119</v>
      </c>
      <c r="I31" cm="1">
        <f t="array" ref="I31">_xlfn.XLOOKUP(Table72[[#This Row],[OrderID]],Table3[[#All],[OrderID]],Table3[[#All],[CustomerID]])</f>
        <v>2</v>
      </c>
      <c r="J31" t="s">
        <v>16</v>
      </c>
      <c r="K31" t="s">
        <v>17</v>
      </c>
      <c r="L31" t="s">
        <v>18</v>
      </c>
      <c r="M31" t="s">
        <v>19</v>
      </c>
      <c r="N31" t="s">
        <v>20</v>
      </c>
      <c r="O31" t="s">
        <v>58</v>
      </c>
      <c r="P31" t="s">
        <v>14</v>
      </c>
      <c r="Q31" t="s">
        <v>21</v>
      </c>
    </row>
    <row r="32" spans="1:17">
      <c r="A32">
        <v>9</v>
      </c>
      <c r="B32" s="1">
        <v>44574</v>
      </c>
      <c r="C32">
        <v>1982</v>
      </c>
      <c r="D32">
        <v>3</v>
      </c>
      <c r="E32" t="s">
        <v>53</v>
      </c>
      <c r="F32">
        <v>5</v>
      </c>
      <c r="G32">
        <v>2.2000000000000002</v>
      </c>
      <c r="H32">
        <v>153</v>
      </c>
      <c r="I32" cm="1">
        <f t="array" ref="I32">_xlfn.XLOOKUP(Table72[[#This Row],[OrderID]],Table3[[#All],[OrderID]],Table3[[#All],[CustomerID]])</f>
        <v>2</v>
      </c>
      <c r="J32" t="s">
        <v>16</v>
      </c>
      <c r="K32" t="s">
        <v>17</v>
      </c>
      <c r="L32" t="s">
        <v>18</v>
      </c>
      <c r="M32" t="s">
        <v>19</v>
      </c>
      <c r="N32" t="s">
        <v>20</v>
      </c>
      <c r="O32" t="s">
        <v>58</v>
      </c>
      <c r="P32" t="s">
        <v>14</v>
      </c>
      <c r="Q32" t="s">
        <v>21</v>
      </c>
    </row>
    <row r="33" spans="1:17">
      <c r="A33">
        <v>10</v>
      </c>
      <c r="B33" s="1">
        <v>44574</v>
      </c>
      <c r="C33">
        <v>39</v>
      </c>
      <c r="D33">
        <v>2</v>
      </c>
      <c r="E33" t="s">
        <v>52</v>
      </c>
      <c r="F33">
        <v>1</v>
      </c>
      <c r="G33">
        <v>0.5</v>
      </c>
      <c r="H33">
        <v>39</v>
      </c>
      <c r="I33" cm="1">
        <f t="array" ref="I33">_xlfn.XLOOKUP(Table72[[#This Row],[OrderID]],Table3[[#All],[OrderID]],Table3[[#All],[CustomerID]])</f>
        <v>4</v>
      </c>
      <c r="J33" t="s">
        <v>28</v>
      </c>
      <c r="K33" t="s">
        <v>29</v>
      </c>
      <c r="L33" t="s">
        <v>30</v>
      </c>
      <c r="M33" t="s">
        <v>31</v>
      </c>
      <c r="N33" t="s">
        <v>32</v>
      </c>
      <c r="O33" t="s">
        <v>60</v>
      </c>
      <c r="P33" t="s">
        <v>14</v>
      </c>
      <c r="Q33" t="s">
        <v>33</v>
      </c>
    </row>
    <row r="34" spans="1:17">
      <c r="A34">
        <v>11</v>
      </c>
      <c r="B34" s="1">
        <v>44576</v>
      </c>
      <c r="C34">
        <v>1383</v>
      </c>
      <c r="D34">
        <v>6</v>
      </c>
      <c r="E34" t="s">
        <v>56</v>
      </c>
      <c r="F34">
        <v>6</v>
      </c>
      <c r="G34">
        <v>2.75</v>
      </c>
      <c r="H34">
        <v>65</v>
      </c>
      <c r="I34" cm="1">
        <f t="array" ref="I34">_xlfn.XLOOKUP(Table72[[#This Row],[OrderID]],Table3[[#All],[OrderID]],Table3[[#All],[CustomerID]])</f>
        <v>5</v>
      </c>
      <c r="J34" t="s">
        <v>34</v>
      </c>
      <c r="K34" t="s">
        <v>35</v>
      </c>
      <c r="L34" t="s">
        <v>36</v>
      </c>
      <c r="M34" t="s">
        <v>37</v>
      </c>
      <c r="N34" t="s">
        <v>38</v>
      </c>
      <c r="O34" t="s">
        <v>57</v>
      </c>
      <c r="P34" t="s">
        <v>14</v>
      </c>
      <c r="Q34" t="s">
        <v>39</v>
      </c>
    </row>
    <row r="35" spans="1:17">
      <c r="A35">
        <v>11</v>
      </c>
      <c r="B35" s="1">
        <v>44576</v>
      </c>
      <c r="C35">
        <v>1383</v>
      </c>
      <c r="D35">
        <v>4</v>
      </c>
      <c r="E35" t="s">
        <v>54</v>
      </c>
      <c r="F35">
        <v>4</v>
      </c>
      <c r="G35">
        <v>1.5</v>
      </c>
      <c r="H35">
        <v>235</v>
      </c>
      <c r="I35" cm="1">
        <f t="array" ref="I35">_xlfn.XLOOKUP(Table72[[#This Row],[OrderID]],Table3[[#All],[OrderID]],Table3[[#All],[CustomerID]])</f>
        <v>5</v>
      </c>
      <c r="J35" t="s">
        <v>34</v>
      </c>
      <c r="K35" t="s">
        <v>35</v>
      </c>
      <c r="L35" t="s">
        <v>36</v>
      </c>
      <c r="M35" t="s">
        <v>37</v>
      </c>
      <c r="N35" t="s">
        <v>38</v>
      </c>
      <c r="O35" t="s">
        <v>57</v>
      </c>
      <c r="P35" t="s">
        <v>14</v>
      </c>
      <c r="Q35" t="s">
        <v>39</v>
      </c>
    </row>
    <row r="36" spans="1:17">
      <c r="A36">
        <v>11</v>
      </c>
      <c r="B36" s="1">
        <v>44576</v>
      </c>
      <c r="C36">
        <v>1383</v>
      </c>
      <c r="D36">
        <v>2</v>
      </c>
      <c r="E36" t="s">
        <v>52</v>
      </c>
      <c r="F36">
        <v>1</v>
      </c>
      <c r="G36">
        <v>0.5</v>
      </c>
      <c r="H36">
        <v>53</v>
      </c>
      <c r="I36" cm="1">
        <f t="array" ref="I36">_xlfn.XLOOKUP(Table72[[#This Row],[OrderID]],Table3[[#All],[OrderID]],Table3[[#All],[CustomerID]])</f>
        <v>5</v>
      </c>
      <c r="J36" t="s">
        <v>34</v>
      </c>
      <c r="K36" t="s">
        <v>35</v>
      </c>
      <c r="L36" t="s">
        <v>36</v>
      </c>
      <c r="M36" t="s">
        <v>37</v>
      </c>
      <c r="N36" t="s">
        <v>38</v>
      </c>
      <c r="O36" t="s">
        <v>57</v>
      </c>
      <c r="P36" t="s">
        <v>14</v>
      </c>
      <c r="Q36" t="s">
        <v>39</v>
      </c>
    </row>
    <row r="37" spans="1:17">
      <c r="A37">
        <v>12</v>
      </c>
      <c r="B37" s="1">
        <v>44580</v>
      </c>
      <c r="C37">
        <v>1680</v>
      </c>
      <c r="D37">
        <v>1</v>
      </c>
      <c r="E37" t="s">
        <v>51</v>
      </c>
      <c r="F37">
        <v>5</v>
      </c>
      <c r="G37">
        <v>2</v>
      </c>
      <c r="H37">
        <v>171</v>
      </c>
      <c r="I37" cm="1">
        <f t="array" ref="I37">_xlfn.XLOOKUP(Table72[[#This Row],[OrderID]],Table3[[#All],[OrderID]],Table3[[#All],[CustomerID]])</f>
        <v>1</v>
      </c>
      <c r="J37" t="s">
        <v>9</v>
      </c>
      <c r="K37" t="s">
        <v>10</v>
      </c>
      <c r="L37" t="s">
        <v>11</v>
      </c>
      <c r="M37" t="s">
        <v>12</v>
      </c>
      <c r="N37" t="s">
        <v>13</v>
      </c>
      <c r="O37" t="s">
        <v>59</v>
      </c>
      <c r="P37" t="s">
        <v>14</v>
      </c>
      <c r="Q37" t="s">
        <v>15</v>
      </c>
    </row>
    <row r="38" spans="1:17">
      <c r="A38">
        <v>12</v>
      </c>
      <c r="B38" s="1">
        <v>44580</v>
      </c>
      <c r="C38">
        <v>1680</v>
      </c>
      <c r="D38">
        <v>5</v>
      </c>
      <c r="E38" t="s">
        <v>55</v>
      </c>
      <c r="F38">
        <v>3</v>
      </c>
      <c r="G38">
        <v>1.25</v>
      </c>
      <c r="H38">
        <v>197</v>
      </c>
      <c r="I38" cm="1">
        <f t="array" ref="I38">_xlfn.XLOOKUP(Table72[[#This Row],[OrderID]],Table3[[#All],[OrderID]],Table3[[#All],[CustomerID]])</f>
        <v>1</v>
      </c>
      <c r="J38" t="s">
        <v>9</v>
      </c>
      <c r="K38" t="s">
        <v>10</v>
      </c>
      <c r="L38" t="s">
        <v>11</v>
      </c>
      <c r="M38" t="s">
        <v>12</v>
      </c>
      <c r="N38" t="s">
        <v>13</v>
      </c>
      <c r="O38" t="s">
        <v>59</v>
      </c>
      <c r="P38" t="s">
        <v>14</v>
      </c>
      <c r="Q38" t="s">
        <v>15</v>
      </c>
    </row>
    <row r="39" spans="1:17">
      <c r="A39">
        <v>12</v>
      </c>
      <c r="B39" s="1">
        <v>44580</v>
      </c>
      <c r="C39">
        <v>1680</v>
      </c>
      <c r="D39">
        <v>2</v>
      </c>
      <c r="E39" t="s">
        <v>52</v>
      </c>
      <c r="F39">
        <v>1</v>
      </c>
      <c r="G39">
        <v>0.5</v>
      </c>
      <c r="H39">
        <v>234</v>
      </c>
      <c r="I39" cm="1">
        <f t="array" ref="I39">_xlfn.XLOOKUP(Table72[[#This Row],[OrderID]],Table3[[#All],[OrderID]],Table3[[#All],[CustomerID]])</f>
        <v>1</v>
      </c>
      <c r="J39" t="s">
        <v>9</v>
      </c>
      <c r="K39" t="s">
        <v>10</v>
      </c>
      <c r="L39" t="s">
        <v>11</v>
      </c>
      <c r="M39" t="s">
        <v>12</v>
      </c>
      <c r="N39" t="s">
        <v>13</v>
      </c>
      <c r="O39" t="s">
        <v>59</v>
      </c>
      <c r="P39" t="s">
        <v>14</v>
      </c>
      <c r="Q39" t="s">
        <v>15</v>
      </c>
    </row>
    <row r="40" spans="1:17">
      <c r="A40">
        <v>13</v>
      </c>
      <c r="B40" s="1">
        <v>44581</v>
      </c>
      <c r="C40">
        <v>3293</v>
      </c>
      <c r="D40">
        <v>2</v>
      </c>
      <c r="E40" t="s">
        <v>52</v>
      </c>
      <c r="F40">
        <v>1</v>
      </c>
      <c r="G40">
        <v>0.5</v>
      </c>
      <c r="H40">
        <v>193</v>
      </c>
      <c r="I40" cm="1">
        <f t="array" ref="I40">_xlfn.XLOOKUP(Table72[[#This Row],[OrderID]],Table3[[#All],[OrderID]],Table3[[#All],[CustomerID]])</f>
        <v>3</v>
      </c>
      <c r="J40" t="s">
        <v>22</v>
      </c>
      <c r="K40" t="s">
        <v>23</v>
      </c>
      <c r="L40" t="s">
        <v>24</v>
      </c>
      <c r="M40" t="s">
        <v>25</v>
      </c>
      <c r="N40" t="s">
        <v>26</v>
      </c>
      <c r="O40" t="s">
        <v>61</v>
      </c>
      <c r="P40" t="s">
        <v>14</v>
      </c>
      <c r="Q40" t="s">
        <v>27</v>
      </c>
    </row>
    <row r="41" spans="1:17">
      <c r="A41">
        <v>13</v>
      </c>
      <c r="B41" s="1">
        <v>44581</v>
      </c>
      <c r="C41">
        <v>3293</v>
      </c>
      <c r="D41">
        <v>4</v>
      </c>
      <c r="E41" t="s">
        <v>54</v>
      </c>
      <c r="F41">
        <v>4</v>
      </c>
      <c r="G41">
        <v>1.5</v>
      </c>
      <c r="H41">
        <v>225</v>
      </c>
      <c r="I41" cm="1">
        <f t="array" ref="I41">_xlfn.XLOOKUP(Table72[[#This Row],[OrderID]],Table3[[#All],[OrderID]],Table3[[#All],[CustomerID]])</f>
        <v>3</v>
      </c>
      <c r="J41" t="s">
        <v>22</v>
      </c>
      <c r="K41" t="s">
        <v>23</v>
      </c>
      <c r="L41" t="s">
        <v>24</v>
      </c>
      <c r="M41" t="s">
        <v>25</v>
      </c>
      <c r="N41" t="s">
        <v>26</v>
      </c>
      <c r="O41" t="s">
        <v>61</v>
      </c>
      <c r="P41" t="s">
        <v>14</v>
      </c>
      <c r="Q41" t="s">
        <v>27</v>
      </c>
    </row>
    <row r="42" spans="1:17">
      <c r="A42">
        <v>13</v>
      </c>
      <c r="B42" s="1">
        <v>44581</v>
      </c>
      <c r="C42">
        <v>3293</v>
      </c>
      <c r="D42">
        <v>1</v>
      </c>
      <c r="E42" t="s">
        <v>51</v>
      </c>
      <c r="F42">
        <v>5</v>
      </c>
      <c r="G42">
        <v>2</v>
      </c>
      <c r="H42">
        <v>201</v>
      </c>
      <c r="I42" cm="1">
        <f t="array" ref="I42">_xlfn.XLOOKUP(Table72[[#This Row],[OrderID]],Table3[[#All],[OrderID]],Table3[[#All],[CustomerID]])</f>
        <v>3</v>
      </c>
      <c r="J42" t="s">
        <v>22</v>
      </c>
      <c r="K42" t="s">
        <v>23</v>
      </c>
      <c r="L42" t="s">
        <v>24</v>
      </c>
      <c r="M42" t="s">
        <v>25</v>
      </c>
      <c r="N42" t="s">
        <v>26</v>
      </c>
      <c r="O42" t="s">
        <v>61</v>
      </c>
      <c r="P42" t="s">
        <v>14</v>
      </c>
      <c r="Q42" t="s">
        <v>27</v>
      </c>
    </row>
    <row r="43" spans="1:17">
      <c r="A43">
        <v>13</v>
      </c>
      <c r="B43" s="1">
        <v>44581</v>
      </c>
      <c r="C43">
        <v>3293</v>
      </c>
      <c r="D43">
        <v>3</v>
      </c>
      <c r="E43" t="s">
        <v>53</v>
      </c>
      <c r="F43">
        <v>5</v>
      </c>
      <c r="G43">
        <v>2.2000000000000002</v>
      </c>
      <c r="H43">
        <v>239</v>
      </c>
      <c r="I43" cm="1">
        <f t="array" ref="I43">_xlfn.XLOOKUP(Table72[[#This Row],[OrderID]],Table3[[#All],[OrderID]],Table3[[#All],[CustomerID]])</f>
        <v>3</v>
      </c>
      <c r="J43" t="s">
        <v>22</v>
      </c>
      <c r="K43" t="s">
        <v>23</v>
      </c>
      <c r="L43" t="s">
        <v>24</v>
      </c>
      <c r="M43" t="s">
        <v>25</v>
      </c>
      <c r="N43" t="s">
        <v>26</v>
      </c>
      <c r="O43" t="s">
        <v>61</v>
      </c>
      <c r="P43" t="s">
        <v>14</v>
      </c>
      <c r="Q43" t="s">
        <v>27</v>
      </c>
    </row>
    <row r="44" spans="1:17">
      <c r="A44">
        <v>14</v>
      </c>
      <c r="B44" s="1">
        <v>44582</v>
      </c>
      <c r="C44">
        <v>773</v>
      </c>
      <c r="D44">
        <v>3</v>
      </c>
      <c r="E44" t="s">
        <v>53</v>
      </c>
      <c r="F44">
        <v>5</v>
      </c>
      <c r="G44">
        <v>2.2000000000000002</v>
      </c>
      <c r="H44">
        <v>78</v>
      </c>
      <c r="I44" cm="1">
        <f t="array" ref="I44">_xlfn.XLOOKUP(Table72[[#This Row],[OrderID]],Table3[[#All],[OrderID]],Table3[[#All],[CustomerID]])</f>
        <v>1</v>
      </c>
      <c r="J44" t="s">
        <v>9</v>
      </c>
      <c r="K44" t="s">
        <v>10</v>
      </c>
      <c r="L44" t="s">
        <v>11</v>
      </c>
      <c r="M44" t="s">
        <v>12</v>
      </c>
      <c r="N44" t="s">
        <v>13</v>
      </c>
      <c r="O44" t="s">
        <v>59</v>
      </c>
      <c r="P44" t="s">
        <v>14</v>
      </c>
      <c r="Q44" t="s">
        <v>15</v>
      </c>
    </row>
    <row r="45" spans="1:17">
      <c r="A45">
        <v>14</v>
      </c>
      <c r="B45" s="1">
        <v>44582</v>
      </c>
      <c r="C45">
        <v>773</v>
      </c>
      <c r="D45">
        <v>6</v>
      </c>
      <c r="E45" t="s">
        <v>56</v>
      </c>
      <c r="F45">
        <v>6</v>
      </c>
      <c r="G45">
        <v>2.75</v>
      </c>
      <c r="H45">
        <v>26</v>
      </c>
      <c r="I45" cm="1">
        <f t="array" ref="I45">_xlfn.XLOOKUP(Table72[[#This Row],[OrderID]],Table3[[#All],[OrderID]],Table3[[#All],[CustomerID]])</f>
        <v>1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59</v>
      </c>
      <c r="P45" t="s">
        <v>14</v>
      </c>
      <c r="Q45" t="s">
        <v>15</v>
      </c>
    </row>
    <row r="46" spans="1:17">
      <c r="A46">
        <v>14</v>
      </c>
      <c r="B46" s="1">
        <v>44582</v>
      </c>
      <c r="C46">
        <v>773</v>
      </c>
      <c r="D46">
        <v>2</v>
      </c>
      <c r="E46" t="s">
        <v>52</v>
      </c>
      <c r="F46">
        <v>1</v>
      </c>
      <c r="G46">
        <v>0.5</v>
      </c>
      <c r="H46">
        <v>227</v>
      </c>
      <c r="I46" cm="1">
        <f t="array" ref="I46">_xlfn.XLOOKUP(Table72[[#This Row],[OrderID]],Table3[[#All],[OrderID]],Table3[[#All],[CustomerID]])</f>
        <v>1</v>
      </c>
      <c r="J46" t="s">
        <v>9</v>
      </c>
      <c r="K46" t="s">
        <v>10</v>
      </c>
      <c r="L46" t="s">
        <v>11</v>
      </c>
      <c r="M46" t="s">
        <v>12</v>
      </c>
      <c r="N46" t="s">
        <v>13</v>
      </c>
      <c r="O46" t="s">
        <v>59</v>
      </c>
      <c r="P46" t="s">
        <v>14</v>
      </c>
      <c r="Q46" t="s">
        <v>15</v>
      </c>
    </row>
    <row r="47" spans="1:17">
      <c r="A47">
        <v>15</v>
      </c>
      <c r="B47" s="1">
        <v>44582</v>
      </c>
      <c r="C47">
        <v>1093</v>
      </c>
      <c r="D47">
        <v>5</v>
      </c>
      <c r="E47" t="s">
        <v>55</v>
      </c>
      <c r="F47">
        <v>3</v>
      </c>
      <c r="G47">
        <v>1.25</v>
      </c>
      <c r="H47">
        <v>48</v>
      </c>
      <c r="I47" cm="1">
        <f t="array" ref="I47">_xlfn.XLOOKUP(Table72[[#This Row],[OrderID]],Table3[[#All],[OrderID]],Table3[[#All],[CustomerID]])</f>
        <v>3</v>
      </c>
      <c r="J47" t="s">
        <v>22</v>
      </c>
      <c r="K47" t="s">
        <v>23</v>
      </c>
      <c r="L47" t="s">
        <v>24</v>
      </c>
      <c r="M47" t="s">
        <v>25</v>
      </c>
      <c r="N47" t="s">
        <v>26</v>
      </c>
      <c r="O47" t="s">
        <v>61</v>
      </c>
      <c r="P47" t="s">
        <v>14</v>
      </c>
      <c r="Q47" t="s">
        <v>27</v>
      </c>
    </row>
    <row r="48" spans="1:17">
      <c r="A48">
        <v>15</v>
      </c>
      <c r="B48" s="1">
        <v>44582</v>
      </c>
      <c r="C48">
        <v>1093</v>
      </c>
      <c r="D48">
        <v>3</v>
      </c>
      <c r="E48" t="s">
        <v>53</v>
      </c>
      <c r="F48">
        <v>5</v>
      </c>
      <c r="G48">
        <v>2.2000000000000002</v>
      </c>
      <c r="H48">
        <v>109</v>
      </c>
      <c r="I48" cm="1">
        <f t="array" ref="I48">_xlfn.XLOOKUP(Table72[[#This Row],[OrderID]],Table3[[#All],[OrderID]],Table3[[#All],[CustomerID]])</f>
        <v>3</v>
      </c>
      <c r="J48" t="s">
        <v>22</v>
      </c>
      <c r="K48" t="s">
        <v>23</v>
      </c>
      <c r="L48" t="s">
        <v>24</v>
      </c>
      <c r="M48" t="s">
        <v>25</v>
      </c>
      <c r="N48" t="s">
        <v>26</v>
      </c>
      <c r="O48" t="s">
        <v>61</v>
      </c>
      <c r="P48" t="s">
        <v>14</v>
      </c>
      <c r="Q48" t="s">
        <v>27</v>
      </c>
    </row>
    <row r="49" spans="1:17">
      <c r="A49">
        <v>15</v>
      </c>
      <c r="B49" s="1">
        <v>44582</v>
      </c>
      <c r="C49">
        <v>1093</v>
      </c>
      <c r="D49">
        <v>2</v>
      </c>
      <c r="E49" t="s">
        <v>52</v>
      </c>
      <c r="F49">
        <v>1</v>
      </c>
      <c r="G49">
        <v>0.5</v>
      </c>
      <c r="H49">
        <v>99</v>
      </c>
      <c r="I49" cm="1">
        <f t="array" ref="I49">_xlfn.XLOOKUP(Table72[[#This Row],[OrderID]],Table3[[#All],[OrderID]],Table3[[#All],[CustomerID]])</f>
        <v>3</v>
      </c>
      <c r="J49" t="s">
        <v>22</v>
      </c>
      <c r="K49" t="s">
        <v>23</v>
      </c>
      <c r="L49" t="s">
        <v>24</v>
      </c>
      <c r="M49" t="s">
        <v>25</v>
      </c>
      <c r="N49" t="s">
        <v>26</v>
      </c>
      <c r="O49" t="s">
        <v>61</v>
      </c>
      <c r="P49" t="s">
        <v>14</v>
      </c>
      <c r="Q49" t="s">
        <v>27</v>
      </c>
    </row>
    <row r="50" spans="1:17">
      <c r="A50">
        <v>15</v>
      </c>
      <c r="B50" s="1">
        <v>44582</v>
      </c>
      <c r="C50">
        <v>1093</v>
      </c>
      <c r="D50">
        <v>1</v>
      </c>
      <c r="E50" t="s">
        <v>51</v>
      </c>
      <c r="F50">
        <v>5</v>
      </c>
      <c r="G50">
        <v>2</v>
      </c>
      <c r="H50">
        <v>61</v>
      </c>
      <c r="I50" cm="1">
        <f t="array" ref="I50">_xlfn.XLOOKUP(Table72[[#This Row],[OrderID]],Table3[[#All],[OrderID]],Table3[[#All],[CustomerID]])</f>
        <v>3</v>
      </c>
      <c r="J50" t="s">
        <v>22</v>
      </c>
      <c r="K50" t="s">
        <v>23</v>
      </c>
      <c r="L50" t="s">
        <v>24</v>
      </c>
      <c r="M50" t="s">
        <v>25</v>
      </c>
      <c r="N50" t="s">
        <v>26</v>
      </c>
      <c r="O50" t="s">
        <v>61</v>
      </c>
      <c r="P50" t="s">
        <v>14</v>
      </c>
      <c r="Q50" t="s">
        <v>27</v>
      </c>
    </row>
    <row r="51" spans="1:17">
      <c r="A51">
        <v>16</v>
      </c>
      <c r="B51" s="1">
        <v>44582</v>
      </c>
      <c r="C51">
        <v>998</v>
      </c>
      <c r="D51">
        <v>6</v>
      </c>
      <c r="E51" t="s">
        <v>56</v>
      </c>
      <c r="F51">
        <v>6</v>
      </c>
      <c r="G51">
        <v>2.75</v>
      </c>
      <c r="H51">
        <v>129</v>
      </c>
      <c r="I51" cm="1">
        <f t="array" ref="I51">_xlfn.XLOOKUP(Table72[[#This Row],[OrderID]],Table3[[#All],[OrderID]],Table3[[#All],[CustomerID]])</f>
        <v>2</v>
      </c>
      <c r="J51" t="s">
        <v>16</v>
      </c>
      <c r="K51" t="s">
        <v>17</v>
      </c>
      <c r="L51" t="s">
        <v>18</v>
      </c>
      <c r="M51" t="s">
        <v>19</v>
      </c>
      <c r="N51" t="s">
        <v>20</v>
      </c>
      <c r="O51" t="s">
        <v>58</v>
      </c>
      <c r="P51" t="s">
        <v>14</v>
      </c>
      <c r="Q51" t="s">
        <v>21</v>
      </c>
    </row>
    <row r="52" spans="1:17">
      <c r="A52">
        <v>16</v>
      </c>
      <c r="B52" s="1">
        <v>44582</v>
      </c>
      <c r="C52">
        <v>998</v>
      </c>
      <c r="D52">
        <v>4</v>
      </c>
      <c r="E52" t="s">
        <v>54</v>
      </c>
      <c r="F52">
        <v>4</v>
      </c>
      <c r="G52">
        <v>1.5</v>
      </c>
      <c r="H52">
        <v>56</v>
      </c>
      <c r="I52" cm="1">
        <f t="array" ref="I52">_xlfn.XLOOKUP(Table72[[#This Row],[OrderID]],Table3[[#All],[OrderID]],Table3[[#All],[CustomerID]])</f>
        <v>2</v>
      </c>
      <c r="J52" t="s">
        <v>16</v>
      </c>
      <c r="K52" t="s">
        <v>17</v>
      </c>
      <c r="L52" t="s">
        <v>18</v>
      </c>
      <c r="M52" t="s">
        <v>19</v>
      </c>
      <c r="N52" t="s">
        <v>20</v>
      </c>
      <c r="O52" t="s">
        <v>58</v>
      </c>
      <c r="P52" t="s">
        <v>14</v>
      </c>
      <c r="Q52" t="s">
        <v>21</v>
      </c>
    </row>
    <row r="53" spans="1:17">
      <c r="A53">
        <v>17</v>
      </c>
      <c r="B53" s="1">
        <v>44584</v>
      </c>
      <c r="C53">
        <v>912</v>
      </c>
      <c r="D53">
        <v>5</v>
      </c>
      <c r="E53" t="s">
        <v>55</v>
      </c>
      <c r="F53">
        <v>3</v>
      </c>
      <c r="G53">
        <v>1.25</v>
      </c>
      <c r="H53">
        <v>199</v>
      </c>
      <c r="I53" cm="1">
        <f t="array" ref="I53">_xlfn.XLOOKUP(Table72[[#This Row],[OrderID]],Table3[[#All],[OrderID]],Table3[[#All],[CustomerID]])</f>
        <v>3</v>
      </c>
      <c r="J53" t="s">
        <v>22</v>
      </c>
      <c r="K53" t="s">
        <v>23</v>
      </c>
      <c r="L53" t="s">
        <v>24</v>
      </c>
      <c r="M53" t="s">
        <v>25</v>
      </c>
      <c r="N53" t="s">
        <v>26</v>
      </c>
      <c r="O53" t="s">
        <v>61</v>
      </c>
      <c r="P53" t="s">
        <v>14</v>
      </c>
      <c r="Q53" t="s">
        <v>27</v>
      </c>
    </row>
    <row r="54" spans="1:17">
      <c r="A54">
        <v>17</v>
      </c>
      <c r="B54" s="1">
        <v>44584</v>
      </c>
      <c r="C54">
        <v>912</v>
      </c>
      <c r="D54">
        <v>3</v>
      </c>
      <c r="E54" t="s">
        <v>53</v>
      </c>
      <c r="F54">
        <v>5</v>
      </c>
      <c r="G54">
        <v>2.2000000000000002</v>
      </c>
      <c r="H54">
        <v>63</v>
      </c>
      <c r="I54" cm="1">
        <f t="array" ref="I54">_xlfn.XLOOKUP(Table72[[#This Row],[OrderID]],Table3[[#All],[OrderID]],Table3[[#All],[CustomerID]])</f>
        <v>3</v>
      </c>
      <c r="J54" t="s">
        <v>22</v>
      </c>
      <c r="K54" t="s">
        <v>23</v>
      </c>
      <c r="L54" t="s">
        <v>24</v>
      </c>
      <c r="M54" t="s">
        <v>25</v>
      </c>
      <c r="N54" t="s">
        <v>26</v>
      </c>
      <c r="O54" t="s">
        <v>61</v>
      </c>
      <c r="P54" t="s">
        <v>14</v>
      </c>
      <c r="Q54" t="s">
        <v>27</v>
      </c>
    </row>
    <row r="55" spans="1:17">
      <c r="A55">
        <v>18</v>
      </c>
      <c r="B55" s="1">
        <v>44585</v>
      </c>
      <c r="C55">
        <v>915</v>
      </c>
      <c r="D55">
        <v>3</v>
      </c>
      <c r="E55" t="s">
        <v>53</v>
      </c>
      <c r="F55">
        <v>5</v>
      </c>
      <c r="G55">
        <v>2.2000000000000002</v>
      </c>
      <c r="H55">
        <v>183</v>
      </c>
      <c r="I55" cm="1">
        <f t="array" ref="I55">_xlfn.XLOOKUP(Table72[[#This Row],[OrderID]],Table3[[#All],[OrderID]],Table3[[#All],[CustomerID]])</f>
        <v>4</v>
      </c>
      <c r="J55" t="s">
        <v>28</v>
      </c>
      <c r="K55" t="s">
        <v>29</v>
      </c>
      <c r="L55" t="s">
        <v>30</v>
      </c>
      <c r="M55" t="s">
        <v>31</v>
      </c>
      <c r="N55" t="s">
        <v>32</v>
      </c>
      <c r="O55" t="s">
        <v>60</v>
      </c>
      <c r="P55" t="s">
        <v>14</v>
      </c>
      <c r="Q55" t="s">
        <v>33</v>
      </c>
    </row>
    <row r="56" spans="1:17">
      <c r="A56">
        <v>19</v>
      </c>
      <c r="B56" s="1">
        <v>44588</v>
      </c>
      <c r="C56">
        <v>1410</v>
      </c>
      <c r="D56">
        <v>6</v>
      </c>
      <c r="E56" t="s">
        <v>56</v>
      </c>
      <c r="F56">
        <v>6</v>
      </c>
      <c r="G56">
        <v>2.75</v>
      </c>
      <c r="H56">
        <v>235</v>
      </c>
      <c r="I56" cm="1">
        <f t="array" ref="I56">_xlfn.XLOOKUP(Table72[[#This Row],[OrderID]],Table3[[#All],[OrderID]],Table3[[#All],[CustomerID]])</f>
        <v>2</v>
      </c>
      <c r="J56" t="s">
        <v>16</v>
      </c>
      <c r="K56" t="s">
        <v>17</v>
      </c>
      <c r="L56" t="s">
        <v>18</v>
      </c>
      <c r="M56" t="s">
        <v>19</v>
      </c>
      <c r="N56" t="s">
        <v>20</v>
      </c>
      <c r="O56" t="s">
        <v>58</v>
      </c>
      <c r="P56" t="s">
        <v>14</v>
      </c>
      <c r="Q56" t="s">
        <v>21</v>
      </c>
    </row>
    <row r="57" spans="1:17">
      <c r="A57">
        <v>20</v>
      </c>
      <c r="B57" s="1">
        <v>44593</v>
      </c>
      <c r="C57">
        <v>1955</v>
      </c>
      <c r="D57">
        <v>3</v>
      </c>
      <c r="E57" t="s">
        <v>53</v>
      </c>
      <c r="F57">
        <v>5</v>
      </c>
      <c r="G57">
        <v>2.2000000000000002</v>
      </c>
      <c r="H57">
        <v>147</v>
      </c>
      <c r="I57" cm="1">
        <f t="array" ref="I57">_xlfn.XLOOKUP(Table72[[#This Row],[OrderID]],Table3[[#All],[OrderID]],Table3[[#All],[CustomerID]])</f>
        <v>2</v>
      </c>
      <c r="J57" t="s">
        <v>16</v>
      </c>
      <c r="K57" t="s">
        <v>17</v>
      </c>
      <c r="L57" t="s">
        <v>18</v>
      </c>
      <c r="M57" t="s">
        <v>19</v>
      </c>
      <c r="N57" t="s">
        <v>20</v>
      </c>
      <c r="O57" t="s">
        <v>58</v>
      </c>
      <c r="P57" t="s">
        <v>14</v>
      </c>
      <c r="Q57" t="s">
        <v>21</v>
      </c>
    </row>
    <row r="58" spans="1:17">
      <c r="A58">
        <v>20</v>
      </c>
      <c r="B58" s="1">
        <v>44593</v>
      </c>
      <c r="C58">
        <v>1955</v>
      </c>
      <c r="D58">
        <v>1</v>
      </c>
      <c r="E58" t="s">
        <v>51</v>
      </c>
      <c r="F58">
        <v>5</v>
      </c>
      <c r="G58">
        <v>2</v>
      </c>
      <c r="H58">
        <v>244</v>
      </c>
      <c r="I58" cm="1">
        <f t="array" ref="I58">_xlfn.XLOOKUP(Table72[[#This Row],[OrderID]],Table3[[#All],[OrderID]],Table3[[#All],[CustomerID]])</f>
        <v>2</v>
      </c>
      <c r="J58" t="s">
        <v>16</v>
      </c>
      <c r="K58" t="s">
        <v>17</v>
      </c>
      <c r="L58" t="s">
        <v>18</v>
      </c>
      <c r="M58" t="s">
        <v>19</v>
      </c>
      <c r="N58" t="s">
        <v>20</v>
      </c>
      <c r="O58" t="s">
        <v>58</v>
      </c>
      <c r="P58" t="s">
        <v>14</v>
      </c>
      <c r="Q58" t="s">
        <v>21</v>
      </c>
    </row>
    <row r="59" spans="1:17">
      <c r="A59">
        <v>21</v>
      </c>
      <c r="B59" s="1">
        <v>44597</v>
      </c>
      <c r="C59">
        <v>74</v>
      </c>
      <c r="D59">
        <v>2</v>
      </c>
      <c r="E59" t="s">
        <v>52</v>
      </c>
      <c r="F59">
        <v>1</v>
      </c>
      <c r="G59">
        <v>0.5</v>
      </c>
      <c r="H59">
        <v>74</v>
      </c>
      <c r="I59" cm="1">
        <f t="array" ref="I59">_xlfn.XLOOKUP(Table72[[#This Row],[OrderID]],Table3[[#All],[OrderID]],Table3[[#All],[CustomerID]])</f>
        <v>5</v>
      </c>
      <c r="J59" t="s">
        <v>34</v>
      </c>
      <c r="K59" t="s">
        <v>35</v>
      </c>
      <c r="L59" t="s">
        <v>36</v>
      </c>
      <c r="M59" t="s">
        <v>37</v>
      </c>
      <c r="N59" t="s">
        <v>38</v>
      </c>
      <c r="O59" t="s">
        <v>57</v>
      </c>
      <c r="P59" t="s">
        <v>14</v>
      </c>
      <c r="Q59" t="s">
        <v>39</v>
      </c>
    </row>
    <row r="60" spans="1:17">
      <c r="A60">
        <v>22</v>
      </c>
      <c r="B60" s="1">
        <v>44597</v>
      </c>
      <c r="C60">
        <v>1744</v>
      </c>
      <c r="D60">
        <v>2</v>
      </c>
      <c r="E60" t="s">
        <v>52</v>
      </c>
      <c r="F60">
        <v>1</v>
      </c>
      <c r="G60">
        <v>0.5</v>
      </c>
      <c r="H60">
        <v>141</v>
      </c>
      <c r="I60" cm="1">
        <f t="array" ref="I60">_xlfn.XLOOKUP(Table72[[#This Row],[OrderID]],Table3[[#All],[OrderID]],Table3[[#All],[CustomerID]])</f>
        <v>4</v>
      </c>
      <c r="J60" t="s">
        <v>28</v>
      </c>
      <c r="K60" t="s">
        <v>29</v>
      </c>
      <c r="L60" t="s">
        <v>30</v>
      </c>
      <c r="M60" t="s">
        <v>31</v>
      </c>
      <c r="N60" t="s">
        <v>32</v>
      </c>
      <c r="O60" t="s">
        <v>60</v>
      </c>
      <c r="P60" t="s">
        <v>14</v>
      </c>
      <c r="Q60" t="s">
        <v>33</v>
      </c>
    </row>
    <row r="61" spans="1:17">
      <c r="A61">
        <v>22</v>
      </c>
      <c r="B61" s="1">
        <v>44597</v>
      </c>
      <c r="C61">
        <v>1744</v>
      </c>
      <c r="D61">
        <v>5</v>
      </c>
      <c r="E61" t="s">
        <v>55</v>
      </c>
      <c r="F61">
        <v>3</v>
      </c>
      <c r="G61">
        <v>1.25</v>
      </c>
      <c r="H61">
        <v>241</v>
      </c>
      <c r="I61" cm="1">
        <f t="array" ref="I61">_xlfn.XLOOKUP(Table72[[#This Row],[OrderID]],Table3[[#All],[OrderID]],Table3[[#All],[CustomerID]])</f>
        <v>4</v>
      </c>
      <c r="J61" t="s">
        <v>28</v>
      </c>
      <c r="K61" t="s">
        <v>29</v>
      </c>
      <c r="L61" t="s">
        <v>30</v>
      </c>
      <c r="M61" t="s">
        <v>31</v>
      </c>
      <c r="N61" t="s">
        <v>32</v>
      </c>
      <c r="O61" t="s">
        <v>60</v>
      </c>
      <c r="P61" t="s">
        <v>14</v>
      </c>
      <c r="Q61" t="s">
        <v>33</v>
      </c>
    </row>
    <row r="62" spans="1:17">
      <c r="A62">
        <v>22</v>
      </c>
      <c r="B62" s="1">
        <v>44597</v>
      </c>
      <c r="C62">
        <v>1744</v>
      </c>
      <c r="D62">
        <v>3</v>
      </c>
      <c r="E62" t="s">
        <v>53</v>
      </c>
      <c r="F62">
        <v>5</v>
      </c>
      <c r="G62">
        <v>2.2000000000000002</v>
      </c>
      <c r="H62">
        <v>176</v>
      </c>
      <c r="I62" cm="1">
        <f t="array" ref="I62">_xlfn.XLOOKUP(Table72[[#This Row],[OrderID]],Table3[[#All],[OrderID]],Table3[[#All],[CustomerID]])</f>
        <v>4</v>
      </c>
      <c r="J62" t="s">
        <v>28</v>
      </c>
      <c r="K62" t="s">
        <v>29</v>
      </c>
      <c r="L62" t="s">
        <v>30</v>
      </c>
      <c r="M62" t="s">
        <v>31</v>
      </c>
      <c r="N62" t="s">
        <v>32</v>
      </c>
      <c r="O62" t="s">
        <v>60</v>
      </c>
      <c r="P62" t="s">
        <v>14</v>
      </c>
      <c r="Q62" t="s">
        <v>33</v>
      </c>
    </row>
    <row r="63" spans="1:17">
      <c r="A63">
        <v>23</v>
      </c>
      <c r="B63" s="1">
        <v>44598</v>
      </c>
      <c r="C63">
        <v>1776</v>
      </c>
      <c r="D63">
        <v>1</v>
      </c>
      <c r="E63" t="s">
        <v>51</v>
      </c>
      <c r="F63">
        <v>5</v>
      </c>
      <c r="G63">
        <v>2</v>
      </c>
      <c r="H63">
        <v>132</v>
      </c>
      <c r="I63" cm="1">
        <f t="array" ref="I63">_xlfn.XLOOKUP(Table72[[#This Row],[OrderID]],Table3[[#All],[OrderID]],Table3[[#All],[CustomerID]])</f>
        <v>2</v>
      </c>
      <c r="J63" t="s">
        <v>16</v>
      </c>
      <c r="K63" t="s">
        <v>17</v>
      </c>
      <c r="L63" t="s">
        <v>18</v>
      </c>
      <c r="M63" t="s">
        <v>19</v>
      </c>
      <c r="N63" t="s">
        <v>20</v>
      </c>
      <c r="O63" t="s">
        <v>58</v>
      </c>
      <c r="P63" t="s">
        <v>14</v>
      </c>
      <c r="Q63" t="s">
        <v>21</v>
      </c>
    </row>
    <row r="64" spans="1:17">
      <c r="A64">
        <v>23</v>
      </c>
      <c r="B64" s="1">
        <v>44598</v>
      </c>
      <c r="C64">
        <v>1776</v>
      </c>
      <c r="D64">
        <v>4</v>
      </c>
      <c r="E64" t="s">
        <v>54</v>
      </c>
      <c r="F64">
        <v>4</v>
      </c>
      <c r="G64">
        <v>1.5</v>
      </c>
      <c r="H64">
        <v>27</v>
      </c>
      <c r="I64" cm="1">
        <f t="array" ref="I64">_xlfn.XLOOKUP(Table72[[#This Row],[OrderID]],Table3[[#All],[OrderID]],Table3[[#All],[CustomerID]])</f>
        <v>2</v>
      </c>
      <c r="J64" t="s">
        <v>16</v>
      </c>
      <c r="K64" t="s">
        <v>17</v>
      </c>
      <c r="L64" t="s">
        <v>18</v>
      </c>
      <c r="M64" t="s">
        <v>19</v>
      </c>
      <c r="N64" t="s">
        <v>20</v>
      </c>
      <c r="O64" t="s">
        <v>58</v>
      </c>
      <c r="P64" t="s">
        <v>14</v>
      </c>
      <c r="Q64" t="s">
        <v>21</v>
      </c>
    </row>
    <row r="65" spans="1:17">
      <c r="A65">
        <v>23</v>
      </c>
      <c r="B65" s="1">
        <v>44598</v>
      </c>
      <c r="C65">
        <v>1776</v>
      </c>
      <c r="D65">
        <v>6</v>
      </c>
      <c r="E65" t="s">
        <v>56</v>
      </c>
      <c r="F65">
        <v>6</v>
      </c>
      <c r="G65">
        <v>2.75</v>
      </c>
      <c r="H65">
        <v>168</v>
      </c>
      <c r="I65" cm="1">
        <f t="array" ref="I65">_xlfn.XLOOKUP(Table72[[#This Row],[OrderID]],Table3[[#All],[OrderID]],Table3[[#All],[CustomerID]])</f>
        <v>2</v>
      </c>
      <c r="J65" t="s">
        <v>16</v>
      </c>
      <c r="K65" t="s">
        <v>17</v>
      </c>
      <c r="L65" t="s">
        <v>18</v>
      </c>
      <c r="M65" t="s">
        <v>19</v>
      </c>
      <c r="N65" t="s">
        <v>20</v>
      </c>
      <c r="O65" t="s">
        <v>58</v>
      </c>
      <c r="P65" t="s">
        <v>14</v>
      </c>
      <c r="Q65" t="s">
        <v>21</v>
      </c>
    </row>
    <row r="66" spans="1:17">
      <c r="A66">
        <v>24</v>
      </c>
      <c r="B66" s="1">
        <v>44598</v>
      </c>
      <c r="C66">
        <v>1829</v>
      </c>
      <c r="D66">
        <v>5</v>
      </c>
      <c r="E66" t="s">
        <v>55</v>
      </c>
      <c r="F66">
        <v>3</v>
      </c>
      <c r="G66">
        <v>1.25</v>
      </c>
      <c r="H66">
        <v>122</v>
      </c>
      <c r="I66" cm="1">
        <f t="array" ref="I66">_xlfn.XLOOKUP(Table72[[#This Row],[OrderID]],Table3[[#All],[OrderID]],Table3[[#All],[CustomerID]])</f>
        <v>3</v>
      </c>
      <c r="J66" t="s">
        <v>22</v>
      </c>
      <c r="K66" t="s">
        <v>23</v>
      </c>
      <c r="L66" t="s">
        <v>24</v>
      </c>
      <c r="M66" t="s">
        <v>25</v>
      </c>
      <c r="N66" t="s">
        <v>26</v>
      </c>
      <c r="O66" t="s">
        <v>61</v>
      </c>
      <c r="P66" t="s">
        <v>14</v>
      </c>
      <c r="Q66" t="s">
        <v>27</v>
      </c>
    </row>
    <row r="67" spans="1:17">
      <c r="A67">
        <v>24</v>
      </c>
      <c r="B67" s="1">
        <v>44598</v>
      </c>
      <c r="C67">
        <v>1829</v>
      </c>
      <c r="D67">
        <v>6</v>
      </c>
      <c r="E67" t="s">
        <v>56</v>
      </c>
      <c r="F67">
        <v>6</v>
      </c>
      <c r="G67">
        <v>2.75</v>
      </c>
      <c r="H67">
        <v>214</v>
      </c>
      <c r="I67" cm="1">
        <f t="array" ref="I67">_xlfn.XLOOKUP(Table72[[#This Row],[OrderID]],Table3[[#All],[OrderID]],Table3[[#All],[CustomerID]])</f>
        <v>3</v>
      </c>
      <c r="J67" t="s">
        <v>22</v>
      </c>
      <c r="K67" t="s">
        <v>23</v>
      </c>
      <c r="L67" t="s">
        <v>24</v>
      </c>
      <c r="M67" t="s">
        <v>25</v>
      </c>
      <c r="N67" t="s">
        <v>26</v>
      </c>
      <c r="O67" t="s">
        <v>61</v>
      </c>
      <c r="P67" t="s">
        <v>14</v>
      </c>
      <c r="Q67" t="s">
        <v>27</v>
      </c>
    </row>
    <row r="68" spans="1:17">
      <c r="A68">
        <v>24</v>
      </c>
      <c r="B68" s="1">
        <v>44598</v>
      </c>
      <c r="C68">
        <v>1829</v>
      </c>
      <c r="D68">
        <v>2</v>
      </c>
      <c r="E68" t="s">
        <v>52</v>
      </c>
      <c r="F68">
        <v>1</v>
      </c>
      <c r="G68">
        <v>0.5</v>
      </c>
      <c r="H68">
        <v>179</v>
      </c>
      <c r="I68" cm="1">
        <f t="array" ref="I68">_xlfn.XLOOKUP(Table72[[#This Row],[OrderID]],Table3[[#All],[OrderID]],Table3[[#All],[CustomerID]])</f>
        <v>3</v>
      </c>
      <c r="J68" t="s">
        <v>22</v>
      </c>
      <c r="K68" t="s">
        <v>23</v>
      </c>
      <c r="L68" t="s">
        <v>24</v>
      </c>
      <c r="M68" t="s">
        <v>25</v>
      </c>
      <c r="N68" t="s">
        <v>26</v>
      </c>
      <c r="O68" t="s">
        <v>61</v>
      </c>
      <c r="P68" t="s">
        <v>14</v>
      </c>
      <c r="Q68" t="s">
        <v>27</v>
      </c>
    </row>
    <row r="69" spans="1:17">
      <c r="A69">
        <v>25</v>
      </c>
      <c r="B69" s="1">
        <v>44599</v>
      </c>
      <c r="C69">
        <v>1113</v>
      </c>
      <c r="D69">
        <v>2</v>
      </c>
      <c r="E69" t="s">
        <v>52</v>
      </c>
      <c r="F69">
        <v>1</v>
      </c>
      <c r="G69">
        <v>0.5</v>
      </c>
      <c r="H69">
        <v>239</v>
      </c>
      <c r="I69" cm="1">
        <f t="array" ref="I69">_xlfn.XLOOKUP(Table72[[#This Row],[OrderID]],Table3[[#All],[OrderID]],Table3[[#All],[CustomerID]])</f>
        <v>4</v>
      </c>
      <c r="J69" t="s">
        <v>28</v>
      </c>
      <c r="K69" t="s">
        <v>29</v>
      </c>
      <c r="L69" t="s">
        <v>30</v>
      </c>
      <c r="M69" t="s">
        <v>31</v>
      </c>
      <c r="N69" t="s">
        <v>32</v>
      </c>
      <c r="O69" t="s">
        <v>60</v>
      </c>
      <c r="P69" t="s">
        <v>14</v>
      </c>
      <c r="Q69" t="s">
        <v>33</v>
      </c>
    </row>
    <row r="70" spans="1:17">
      <c r="A70">
        <v>25</v>
      </c>
      <c r="B70" s="1">
        <v>44599</v>
      </c>
      <c r="C70">
        <v>1113</v>
      </c>
      <c r="D70">
        <v>3</v>
      </c>
      <c r="E70" t="s">
        <v>53</v>
      </c>
      <c r="F70">
        <v>5</v>
      </c>
      <c r="G70">
        <v>2.2000000000000002</v>
      </c>
      <c r="H70">
        <v>42</v>
      </c>
      <c r="I70" cm="1">
        <f t="array" ref="I70">_xlfn.XLOOKUP(Table72[[#This Row],[OrderID]],Table3[[#All],[OrderID]],Table3[[#All],[CustomerID]])</f>
        <v>4</v>
      </c>
      <c r="J70" t="s">
        <v>28</v>
      </c>
      <c r="K70" t="s">
        <v>29</v>
      </c>
      <c r="L70" t="s">
        <v>30</v>
      </c>
      <c r="M70" t="s">
        <v>31</v>
      </c>
      <c r="N70" t="s">
        <v>32</v>
      </c>
      <c r="O70" t="s">
        <v>60</v>
      </c>
      <c r="P70" t="s">
        <v>14</v>
      </c>
      <c r="Q70" t="s">
        <v>33</v>
      </c>
    </row>
    <row r="71" spans="1:17">
      <c r="A71">
        <v>25</v>
      </c>
      <c r="B71" s="1">
        <v>44599</v>
      </c>
      <c r="C71">
        <v>1113</v>
      </c>
      <c r="D71">
        <v>4</v>
      </c>
      <c r="E71" t="s">
        <v>54</v>
      </c>
      <c r="F71">
        <v>4</v>
      </c>
      <c r="G71">
        <v>1.5</v>
      </c>
      <c r="H71">
        <v>166</v>
      </c>
      <c r="I71" cm="1">
        <f t="array" ref="I71">_xlfn.XLOOKUP(Table72[[#This Row],[OrderID]],Table3[[#All],[OrderID]],Table3[[#All],[CustomerID]])</f>
        <v>4</v>
      </c>
      <c r="J71" t="s">
        <v>28</v>
      </c>
      <c r="K71" t="s">
        <v>29</v>
      </c>
      <c r="L71" t="s">
        <v>30</v>
      </c>
      <c r="M71" t="s">
        <v>31</v>
      </c>
      <c r="N71" t="s">
        <v>32</v>
      </c>
      <c r="O71" t="s">
        <v>60</v>
      </c>
      <c r="P71" t="s">
        <v>14</v>
      </c>
      <c r="Q71" t="s">
        <v>33</v>
      </c>
    </row>
    <row r="72" spans="1:17">
      <c r="A72">
        <v>26</v>
      </c>
      <c r="B72" s="1">
        <v>44600</v>
      </c>
      <c r="C72">
        <v>171</v>
      </c>
      <c r="D72">
        <v>2</v>
      </c>
      <c r="E72" t="s">
        <v>52</v>
      </c>
      <c r="F72">
        <v>1</v>
      </c>
      <c r="G72">
        <v>0.5</v>
      </c>
      <c r="H72">
        <v>171</v>
      </c>
      <c r="I72" cm="1">
        <f t="array" ref="I72">_xlfn.XLOOKUP(Table72[[#This Row],[OrderID]],Table3[[#All],[OrderID]],Table3[[#All],[CustomerID]])</f>
        <v>3</v>
      </c>
      <c r="J72" t="s">
        <v>22</v>
      </c>
      <c r="K72" t="s">
        <v>23</v>
      </c>
      <c r="L72" t="s">
        <v>24</v>
      </c>
      <c r="M72" t="s">
        <v>25</v>
      </c>
      <c r="N72" t="s">
        <v>26</v>
      </c>
      <c r="O72" t="s">
        <v>61</v>
      </c>
      <c r="P72" t="s">
        <v>14</v>
      </c>
      <c r="Q72" t="s">
        <v>27</v>
      </c>
    </row>
    <row r="73" spans="1:17">
      <c r="A73">
        <v>27</v>
      </c>
      <c r="B73" s="1">
        <v>44601</v>
      </c>
      <c r="C73">
        <v>1291</v>
      </c>
      <c r="D73">
        <v>1</v>
      </c>
      <c r="E73" t="s">
        <v>51</v>
      </c>
      <c r="F73">
        <v>5</v>
      </c>
      <c r="G73">
        <v>2</v>
      </c>
      <c r="H73">
        <v>179</v>
      </c>
      <c r="I73" cm="1">
        <f t="array" ref="I73">_xlfn.XLOOKUP(Table72[[#This Row],[OrderID]],Table3[[#All],[OrderID]],Table3[[#All],[CustomerID]])</f>
        <v>3</v>
      </c>
      <c r="J73" t="s">
        <v>22</v>
      </c>
      <c r="K73" t="s">
        <v>23</v>
      </c>
      <c r="L73" t="s">
        <v>24</v>
      </c>
      <c r="M73" t="s">
        <v>25</v>
      </c>
      <c r="N73" t="s">
        <v>26</v>
      </c>
      <c r="O73" t="s">
        <v>61</v>
      </c>
      <c r="P73" t="s">
        <v>14</v>
      </c>
      <c r="Q73" t="s">
        <v>27</v>
      </c>
    </row>
    <row r="74" spans="1:17">
      <c r="A74">
        <v>27</v>
      </c>
      <c r="B74" s="1">
        <v>44601</v>
      </c>
      <c r="C74">
        <v>1291</v>
      </c>
      <c r="D74">
        <v>6</v>
      </c>
      <c r="E74" t="s">
        <v>56</v>
      </c>
      <c r="F74">
        <v>6</v>
      </c>
      <c r="G74">
        <v>2.75</v>
      </c>
      <c r="H74">
        <v>66</v>
      </c>
      <c r="I74" cm="1">
        <f t="array" ref="I74">_xlfn.XLOOKUP(Table72[[#This Row],[OrderID]],Table3[[#All],[OrderID]],Table3[[#All],[CustomerID]])</f>
        <v>3</v>
      </c>
      <c r="J74" t="s">
        <v>22</v>
      </c>
      <c r="K74" t="s">
        <v>23</v>
      </c>
      <c r="L74" t="s">
        <v>24</v>
      </c>
      <c r="M74" t="s">
        <v>25</v>
      </c>
      <c r="N74" t="s">
        <v>26</v>
      </c>
      <c r="O74" t="s">
        <v>61</v>
      </c>
      <c r="P74" t="s">
        <v>14</v>
      </c>
      <c r="Q74" t="s">
        <v>27</v>
      </c>
    </row>
    <row r="75" spans="1:17">
      <c r="A75">
        <v>28</v>
      </c>
      <c r="B75" s="1">
        <v>44603</v>
      </c>
      <c r="C75">
        <v>2060</v>
      </c>
      <c r="D75">
        <v>6</v>
      </c>
      <c r="E75" t="s">
        <v>56</v>
      </c>
      <c r="F75">
        <v>6</v>
      </c>
      <c r="G75">
        <v>2.75</v>
      </c>
      <c r="H75">
        <v>168</v>
      </c>
      <c r="I75" cm="1">
        <f t="array" ref="I75">_xlfn.XLOOKUP(Table72[[#This Row],[OrderID]],Table3[[#All],[OrderID]],Table3[[#All],[CustomerID]])</f>
        <v>4</v>
      </c>
      <c r="J75" t="s">
        <v>28</v>
      </c>
      <c r="K75" t="s">
        <v>29</v>
      </c>
      <c r="L75" t="s">
        <v>30</v>
      </c>
      <c r="M75" t="s">
        <v>31</v>
      </c>
      <c r="N75" t="s">
        <v>32</v>
      </c>
      <c r="O75" t="s">
        <v>60</v>
      </c>
      <c r="P75" t="s">
        <v>14</v>
      </c>
      <c r="Q75" t="s">
        <v>33</v>
      </c>
    </row>
    <row r="76" spans="1:17">
      <c r="A76">
        <v>28</v>
      </c>
      <c r="B76" s="1">
        <v>44603</v>
      </c>
      <c r="C76">
        <v>2060</v>
      </c>
      <c r="D76">
        <v>4</v>
      </c>
      <c r="E76" t="s">
        <v>54</v>
      </c>
      <c r="F76">
        <v>4</v>
      </c>
      <c r="G76">
        <v>1.5</v>
      </c>
      <c r="H76">
        <v>134</v>
      </c>
      <c r="I76" cm="1">
        <f t="array" ref="I76">_xlfn.XLOOKUP(Table72[[#This Row],[OrderID]],Table3[[#All],[OrderID]],Table3[[#All],[CustomerID]])</f>
        <v>4</v>
      </c>
      <c r="J76" t="s">
        <v>28</v>
      </c>
      <c r="K76" t="s">
        <v>29</v>
      </c>
      <c r="L76" t="s">
        <v>30</v>
      </c>
      <c r="M76" t="s">
        <v>31</v>
      </c>
      <c r="N76" t="s">
        <v>32</v>
      </c>
      <c r="O76" t="s">
        <v>60</v>
      </c>
      <c r="P76" t="s">
        <v>14</v>
      </c>
      <c r="Q76" t="s">
        <v>33</v>
      </c>
    </row>
    <row r="77" spans="1:17">
      <c r="A77">
        <v>28</v>
      </c>
      <c r="B77" s="1">
        <v>44603</v>
      </c>
      <c r="C77">
        <v>2060</v>
      </c>
      <c r="D77">
        <v>5</v>
      </c>
      <c r="E77" t="s">
        <v>55</v>
      </c>
      <c r="F77">
        <v>3</v>
      </c>
      <c r="G77">
        <v>1.25</v>
      </c>
      <c r="H77">
        <v>172</v>
      </c>
      <c r="I77" cm="1">
        <f t="array" ref="I77">_xlfn.XLOOKUP(Table72[[#This Row],[OrderID]],Table3[[#All],[OrderID]],Table3[[#All],[CustomerID]])</f>
        <v>4</v>
      </c>
      <c r="J77" t="s">
        <v>28</v>
      </c>
      <c r="K77" t="s">
        <v>29</v>
      </c>
      <c r="L77" t="s">
        <v>30</v>
      </c>
      <c r="M77" t="s">
        <v>31</v>
      </c>
      <c r="N77" t="s">
        <v>32</v>
      </c>
      <c r="O77" t="s">
        <v>60</v>
      </c>
      <c r="P77" t="s">
        <v>14</v>
      </c>
      <c r="Q77" t="s">
        <v>33</v>
      </c>
    </row>
    <row r="78" spans="1:17">
      <c r="A78">
        <v>29</v>
      </c>
      <c r="B78" s="1">
        <v>44603</v>
      </c>
      <c r="C78">
        <v>1263</v>
      </c>
      <c r="D78">
        <v>4</v>
      </c>
      <c r="E78" t="s">
        <v>54</v>
      </c>
      <c r="F78">
        <v>4</v>
      </c>
      <c r="G78">
        <v>1.5</v>
      </c>
      <c r="H78">
        <v>80</v>
      </c>
      <c r="I78" cm="1">
        <f t="array" ref="I78">_xlfn.XLOOKUP(Table72[[#This Row],[OrderID]],Table3[[#All],[OrderID]],Table3[[#All],[CustomerID]])</f>
        <v>5</v>
      </c>
      <c r="J78" t="s">
        <v>34</v>
      </c>
      <c r="K78" t="s">
        <v>35</v>
      </c>
      <c r="L78" t="s">
        <v>36</v>
      </c>
      <c r="M78" t="s">
        <v>37</v>
      </c>
      <c r="N78" t="s">
        <v>38</v>
      </c>
      <c r="O78" t="s">
        <v>57</v>
      </c>
      <c r="P78" t="s">
        <v>14</v>
      </c>
      <c r="Q78" t="s">
        <v>39</v>
      </c>
    </row>
    <row r="79" spans="1:17">
      <c r="A79">
        <v>29</v>
      </c>
      <c r="B79" s="1">
        <v>44603</v>
      </c>
      <c r="C79">
        <v>1263</v>
      </c>
      <c r="D79">
        <v>5</v>
      </c>
      <c r="E79" t="s">
        <v>55</v>
      </c>
      <c r="F79">
        <v>3</v>
      </c>
      <c r="G79">
        <v>1.25</v>
      </c>
      <c r="H79">
        <v>94</v>
      </c>
      <c r="I79" cm="1">
        <f t="array" ref="I79">_xlfn.XLOOKUP(Table72[[#This Row],[OrderID]],Table3[[#All],[OrderID]],Table3[[#All],[CustomerID]])</f>
        <v>5</v>
      </c>
      <c r="J79" t="s">
        <v>34</v>
      </c>
      <c r="K79" t="s">
        <v>35</v>
      </c>
      <c r="L79" t="s">
        <v>36</v>
      </c>
      <c r="M79" t="s">
        <v>37</v>
      </c>
      <c r="N79" t="s">
        <v>38</v>
      </c>
      <c r="O79" t="s">
        <v>57</v>
      </c>
      <c r="P79" t="s">
        <v>14</v>
      </c>
      <c r="Q79" t="s">
        <v>39</v>
      </c>
    </row>
    <row r="80" spans="1:17">
      <c r="A80">
        <v>29</v>
      </c>
      <c r="B80" s="1">
        <v>44603</v>
      </c>
      <c r="C80">
        <v>1263</v>
      </c>
      <c r="D80">
        <v>3</v>
      </c>
      <c r="E80" t="s">
        <v>53</v>
      </c>
      <c r="F80">
        <v>5</v>
      </c>
      <c r="G80">
        <v>2.2000000000000002</v>
      </c>
      <c r="H80">
        <v>96</v>
      </c>
      <c r="I80" cm="1">
        <f t="array" ref="I80">_xlfn.XLOOKUP(Table72[[#This Row],[OrderID]],Table3[[#All],[OrderID]],Table3[[#All],[CustomerID]])</f>
        <v>5</v>
      </c>
      <c r="J80" t="s">
        <v>34</v>
      </c>
      <c r="K80" t="s">
        <v>35</v>
      </c>
      <c r="L80" t="s">
        <v>36</v>
      </c>
      <c r="M80" t="s">
        <v>37</v>
      </c>
      <c r="N80" t="s">
        <v>38</v>
      </c>
      <c r="O80" t="s">
        <v>57</v>
      </c>
      <c r="P80" t="s">
        <v>14</v>
      </c>
      <c r="Q80" t="s">
        <v>39</v>
      </c>
    </row>
    <row r="81" spans="1:17">
      <c r="A81">
        <v>29</v>
      </c>
      <c r="B81" s="1">
        <v>44603</v>
      </c>
      <c r="C81">
        <v>1263</v>
      </c>
      <c r="D81">
        <v>6</v>
      </c>
      <c r="E81" t="s">
        <v>56</v>
      </c>
      <c r="F81">
        <v>6</v>
      </c>
      <c r="G81">
        <v>2.75</v>
      </c>
      <c r="H81">
        <v>17</v>
      </c>
      <c r="I81" cm="1">
        <f t="array" ref="I81">_xlfn.XLOOKUP(Table72[[#This Row],[OrderID]],Table3[[#All],[OrderID]],Table3[[#All],[CustomerID]])</f>
        <v>5</v>
      </c>
      <c r="J81" t="s">
        <v>34</v>
      </c>
      <c r="K81" t="s">
        <v>35</v>
      </c>
      <c r="L81" t="s">
        <v>36</v>
      </c>
      <c r="M81" t="s">
        <v>37</v>
      </c>
      <c r="N81" t="s">
        <v>38</v>
      </c>
      <c r="O81" t="s">
        <v>57</v>
      </c>
      <c r="P81" t="s">
        <v>14</v>
      </c>
      <c r="Q81" t="s">
        <v>39</v>
      </c>
    </row>
    <row r="82" spans="1:17">
      <c r="A82">
        <v>29</v>
      </c>
      <c r="B82" s="1">
        <v>44603</v>
      </c>
      <c r="C82">
        <v>1263</v>
      </c>
      <c r="D82">
        <v>2</v>
      </c>
      <c r="E82" t="s">
        <v>52</v>
      </c>
      <c r="F82">
        <v>1</v>
      </c>
      <c r="G82">
        <v>0.5</v>
      </c>
      <c r="H82">
        <v>79</v>
      </c>
      <c r="I82" cm="1">
        <f t="array" ref="I82">_xlfn.XLOOKUP(Table72[[#This Row],[OrderID]],Table3[[#All],[OrderID]],Table3[[#All],[CustomerID]])</f>
        <v>5</v>
      </c>
      <c r="J82" t="s">
        <v>34</v>
      </c>
      <c r="K82" t="s">
        <v>35</v>
      </c>
      <c r="L82" t="s">
        <v>36</v>
      </c>
      <c r="M82" t="s">
        <v>37</v>
      </c>
      <c r="N82" t="s">
        <v>38</v>
      </c>
      <c r="O82" t="s">
        <v>57</v>
      </c>
      <c r="P82" t="s">
        <v>14</v>
      </c>
      <c r="Q82" t="s">
        <v>39</v>
      </c>
    </row>
    <row r="83" spans="1:17">
      <c r="A83">
        <v>30</v>
      </c>
      <c r="B83" s="1">
        <v>44604</v>
      </c>
      <c r="C83">
        <v>2117</v>
      </c>
      <c r="D83">
        <v>5</v>
      </c>
      <c r="E83" t="s">
        <v>55</v>
      </c>
      <c r="F83">
        <v>3</v>
      </c>
      <c r="G83">
        <v>1.25</v>
      </c>
      <c r="H83">
        <v>152</v>
      </c>
      <c r="I83" cm="1">
        <f t="array" ref="I83">_xlfn.XLOOKUP(Table72[[#This Row],[OrderID]],Table3[[#All],[OrderID]],Table3[[#All],[CustomerID]])</f>
        <v>1</v>
      </c>
      <c r="J83" t="s">
        <v>9</v>
      </c>
      <c r="K83" t="s">
        <v>10</v>
      </c>
      <c r="L83" t="s">
        <v>11</v>
      </c>
      <c r="M83" t="s">
        <v>12</v>
      </c>
      <c r="N83" t="s">
        <v>13</v>
      </c>
      <c r="O83" t="s">
        <v>59</v>
      </c>
      <c r="P83" t="s">
        <v>14</v>
      </c>
      <c r="Q83" t="s">
        <v>15</v>
      </c>
    </row>
    <row r="84" spans="1:17">
      <c r="A84">
        <v>30</v>
      </c>
      <c r="B84" s="1">
        <v>44604</v>
      </c>
      <c r="C84">
        <v>2117</v>
      </c>
      <c r="D84">
        <v>1</v>
      </c>
      <c r="E84" t="s">
        <v>51</v>
      </c>
      <c r="F84">
        <v>5</v>
      </c>
      <c r="G84">
        <v>2</v>
      </c>
      <c r="H84">
        <v>169</v>
      </c>
      <c r="I84" cm="1">
        <f t="array" ref="I84">_xlfn.XLOOKUP(Table72[[#This Row],[OrderID]],Table3[[#All],[OrderID]],Table3[[#All],[CustomerID]])</f>
        <v>1</v>
      </c>
      <c r="J84" t="s">
        <v>9</v>
      </c>
      <c r="K84" t="s">
        <v>10</v>
      </c>
      <c r="L84" t="s">
        <v>11</v>
      </c>
      <c r="M84" t="s">
        <v>12</v>
      </c>
      <c r="N84" t="s">
        <v>13</v>
      </c>
      <c r="O84" t="s">
        <v>59</v>
      </c>
      <c r="P84" t="s">
        <v>14</v>
      </c>
      <c r="Q84" t="s">
        <v>15</v>
      </c>
    </row>
    <row r="85" spans="1:17">
      <c r="A85">
        <v>30</v>
      </c>
      <c r="B85" s="1">
        <v>44604</v>
      </c>
      <c r="C85">
        <v>2117</v>
      </c>
      <c r="D85">
        <v>4</v>
      </c>
      <c r="E85" t="s">
        <v>54</v>
      </c>
      <c r="F85">
        <v>4</v>
      </c>
      <c r="G85">
        <v>1.5</v>
      </c>
      <c r="H85">
        <v>204</v>
      </c>
      <c r="I85" cm="1">
        <f t="array" ref="I85">_xlfn.XLOOKUP(Table72[[#This Row],[OrderID]],Table3[[#All],[OrderID]],Table3[[#All],[CustomerID]])</f>
        <v>1</v>
      </c>
      <c r="J85" t="s">
        <v>9</v>
      </c>
      <c r="K85" t="s">
        <v>10</v>
      </c>
      <c r="L85" t="s">
        <v>11</v>
      </c>
      <c r="M85" t="s">
        <v>12</v>
      </c>
      <c r="N85" t="s">
        <v>13</v>
      </c>
      <c r="O85" t="s">
        <v>59</v>
      </c>
      <c r="P85" t="s">
        <v>14</v>
      </c>
      <c r="Q85" t="s">
        <v>15</v>
      </c>
    </row>
    <row r="86" spans="1:17">
      <c r="A86">
        <v>31</v>
      </c>
      <c r="B86" s="1">
        <v>44605</v>
      </c>
      <c r="C86">
        <v>1900</v>
      </c>
      <c r="D86">
        <v>1</v>
      </c>
      <c r="E86" t="s">
        <v>51</v>
      </c>
      <c r="F86">
        <v>5</v>
      </c>
      <c r="G86">
        <v>2</v>
      </c>
      <c r="H86">
        <v>151</v>
      </c>
      <c r="I86" cm="1">
        <f t="array" ref="I86">_xlfn.XLOOKUP(Table72[[#This Row],[OrderID]],Table3[[#All],[OrderID]],Table3[[#All],[CustomerID]])</f>
        <v>2</v>
      </c>
      <c r="J86" t="s">
        <v>16</v>
      </c>
      <c r="K86" t="s">
        <v>17</v>
      </c>
      <c r="L86" t="s">
        <v>18</v>
      </c>
      <c r="M86" t="s">
        <v>19</v>
      </c>
      <c r="N86" t="s">
        <v>20</v>
      </c>
      <c r="O86" t="s">
        <v>58</v>
      </c>
      <c r="P86" t="s">
        <v>14</v>
      </c>
      <c r="Q86" t="s">
        <v>21</v>
      </c>
    </row>
    <row r="87" spans="1:17">
      <c r="A87">
        <v>31</v>
      </c>
      <c r="B87" s="1">
        <v>44605</v>
      </c>
      <c r="C87">
        <v>1900</v>
      </c>
      <c r="D87">
        <v>3</v>
      </c>
      <c r="E87" t="s">
        <v>53</v>
      </c>
      <c r="F87">
        <v>5</v>
      </c>
      <c r="G87">
        <v>2.2000000000000002</v>
      </c>
      <c r="H87">
        <v>229</v>
      </c>
      <c r="I87" cm="1">
        <f t="array" ref="I87">_xlfn.XLOOKUP(Table72[[#This Row],[OrderID]],Table3[[#All],[OrderID]],Table3[[#All],[CustomerID]])</f>
        <v>2</v>
      </c>
      <c r="J87" t="s">
        <v>16</v>
      </c>
      <c r="K87" t="s">
        <v>17</v>
      </c>
      <c r="L87" t="s">
        <v>18</v>
      </c>
      <c r="M87" t="s">
        <v>19</v>
      </c>
      <c r="N87" t="s">
        <v>20</v>
      </c>
      <c r="O87" t="s">
        <v>58</v>
      </c>
      <c r="P87" t="s">
        <v>14</v>
      </c>
      <c r="Q87" t="s">
        <v>21</v>
      </c>
    </row>
    <row r="88" spans="1:17">
      <c r="A88">
        <v>32</v>
      </c>
      <c r="B88" s="1">
        <v>44608</v>
      </c>
      <c r="C88">
        <v>2847</v>
      </c>
      <c r="D88">
        <v>3</v>
      </c>
      <c r="E88" t="s">
        <v>53</v>
      </c>
      <c r="F88">
        <v>5</v>
      </c>
      <c r="G88">
        <v>2.2000000000000002</v>
      </c>
      <c r="H88">
        <v>128</v>
      </c>
      <c r="I88" cm="1">
        <f t="array" ref="I88">_xlfn.XLOOKUP(Table72[[#This Row],[OrderID]],Table3[[#All],[OrderID]],Table3[[#All],[CustomerID]])</f>
        <v>5</v>
      </c>
      <c r="J88" t="s">
        <v>34</v>
      </c>
      <c r="K88" t="s">
        <v>35</v>
      </c>
      <c r="L88" t="s">
        <v>36</v>
      </c>
      <c r="M88" t="s">
        <v>37</v>
      </c>
      <c r="N88" t="s">
        <v>38</v>
      </c>
      <c r="O88" t="s">
        <v>57</v>
      </c>
      <c r="P88" t="s">
        <v>14</v>
      </c>
      <c r="Q88" t="s">
        <v>39</v>
      </c>
    </row>
    <row r="89" spans="1:17">
      <c r="A89">
        <v>32</v>
      </c>
      <c r="B89" s="1">
        <v>44608</v>
      </c>
      <c r="C89">
        <v>2847</v>
      </c>
      <c r="D89">
        <v>1</v>
      </c>
      <c r="E89" t="s">
        <v>51</v>
      </c>
      <c r="F89">
        <v>5</v>
      </c>
      <c r="G89">
        <v>2</v>
      </c>
      <c r="H89">
        <v>93</v>
      </c>
      <c r="I89" cm="1">
        <f t="array" ref="I89">_xlfn.XLOOKUP(Table72[[#This Row],[OrderID]],Table3[[#All],[OrderID]],Table3[[#All],[CustomerID]])</f>
        <v>5</v>
      </c>
      <c r="J89" t="s">
        <v>34</v>
      </c>
      <c r="K89" t="s">
        <v>35</v>
      </c>
      <c r="L89" t="s">
        <v>36</v>
      </c>
      <c r="M89" t="s">
        <v>37</v>
      </c>
      <c r="N89" t="s">
        <v>38</v>
      </c>
      <c r="O89" t="s">
        <v>57</v>
      </c>
      <c r="P89" t="s">
        <v>14</v>
      </c>
      <c r="Q89" t="s">
        <v>39</v>
      </c>
    </row>
    <row r="90" spans="1:17">
      <c r="A90">
        <v>32</v>
      </c>
      <c r="B90" s="1">
        <v>44608</v>
      </c>
      <c r="C90">
        <v>2847</v>
      </c>
      <c r="D90">
        <v>4</v>
      </c>
      <c r="E90" t="s">
        <v>54</v>
      </c>
      <c r="F90">
        <v>4</v>
      </c>
      <c r="G90">
        <v>1.5</v>
      </c>
      <c r="H90">
        <v>122</v>
      </c>
      <c r="I90" cm="1">
        <f t="array" ref="I90">_xlfn.XLOOKUP(Table72[[#This Row],[OrderID]],Table3[[#All],[OrderID]],Table3[[#All],[CustomerID]])</f>
        <v>5</v>
      </c>
      <c r="J90" t="s">
        <v>34</v>
      </c>
      <c r="K90" t="s">
        <v>35</v>
      </c>
      <c r="L90" t="s">
        <v>36</v>
      </c>
      <c r="M90" t="s">
        <v>37</v>
      </c>
      <c r="N90" t="s">
        <v>38</v>
      </c>
      <c r="O90" t="s">
        <v>57</v>
      </c>
      <c r="P90" t="s">
        <v>14</v>
      </c>
      <c r="Q90" t="s">
        <v>39</v>
      </c>
    </row>
    <row r="91" spans="1:17">
      <c r="A91">
        <v>32</v>
      </c>
      <c r="B91" s="1">
        <v>44608</v>
      </c>
      <c r="C91">
        <v>2847</v>
      </c>
      <c r="D91">
        <v>6</v>
      </c>
      <c r="E91" t="s">
        <v>56</v>
      </c>
      <c r="F91">
        <v>6</v>
      </c>
      <c r="G91">
        <v>2.75</v>
      </c>
      <c r="H91">
        <v>209</v>
      </c>
      <c r="I91" cm="1">
        <f t="array" ref="I91">_xlfn.XLOOKUP(Table72[[#This Row],[OrderID]],Table3[[#All],[OrderID]],Table3[[#All],[CustomerID]])</f>
        <v>5</v>
      </c>
      <c r="J91" t="s">
        <v>34</v>
      </c>
      <c r="K91" t="s">
        <v>35</v>
      </c>
      <c r="L91" t="s">
        <v>36</v>
      </c>
      <c r="M91" t="s">
        <v>37</v>
      </c>
      <c r="N91" t="s">
        <v>38</v>
      </c>
      <c r="O91" t="s">
        <v>57</v>
      </c>
      <c r="P91" t="s">
        <v>14</v>
      </c>
      <c r="Q91" t="s">
        <v>39</v>
      </c>
    </row>
    <row r="92" spans="1:17">
      <c r="A92">
        <v>33</v>
      </c>
      <c r="B92" s="1">
        <v>44609</v>
      </c>
      <c r="C92">
        <v>2159</v>
      </c>
      <c r="D92">
        <v>5</v>
      </c>
      <c r="E92" t="s">
        <v>55</v>
      </c>
      <c r="F92">
        <v>3</v>
      </c>
      <c r="G92">
        <v>1.25</v>
      </c>
      <c r="H92">
        <v>202</v>
      </c>
      <c r="I92" cm="1">
        <f t="array" ref="I92">_xlfn.XLOOKUP(Table72[[#This Row],[OrderID]],Table3[[#All],[OrderID]],Table3[[#All],[CustomerID]])</f>
        <v>3</v>
      </c>
      <c r="J92" t="s">
        <v>22</v>
      </c>
      <c r="K92" t="s">
        <v>23</v>
      </c>
      <c r="L92" t="s">
        <v>24</v>
      </c>
      <c r="M92" t="s">
        <v>25</v>
      </c>
      <c r="N92" t="s">
        <v>26</v>
      </c>
      <c r="O92" t="s">
        <v>61</v>
      </c>
      <c r="P92" t="s">
        <v>14</v>
      </c>
      <c r="Q92" t="s">
        <v>27</v>
      </c>
    </row>
    <row r="93" spans="1:17">
      <c r="A93">
        <v>33</v>
      </c>
      <c r="B93" s="1">
        <v>44609</v>
      </c>
      <c r="C93">
        <v>2159</v>
      </c>
      <c r="D93">
        <v>3</v>
      </c>
      <c r="E93" t="s">
        <v>53</v>
      </c>
      <c r="F93">
        <v>5</v>
      </c>
      <c r="G93">
        <v>2.2000000000000002</v>
      </c>
      <c r="H93">
        <v>103</v>
      </c>
      <c r="I93" cm="1">
        <f t="array" ref="I93">_xlfn.XLOOKUP(Table72[[#This Row],[OrderID]],Table3[[#All],[OrderID]],Table3[[#All],[CustomerID]])</f>
        <v>3</v>
      </c>
      <c r="J93" t="s">
        <v>22</v>
      </c>
      <c r="K93" t="s">
        <v>23</v>
      </c>
      <c r="L93" t="s">
        <v>24</v>
      </c>
      <c r="M93" t="s">
        <v>25</v>
      </c>
      <c r="N93" t="s">
        <v>26</v>
      </c>
      <c r="O93" t="s">
        <v>61</v>
      </c>
      <c r="P93" t="s">
        <v>14</v>
      </c>
      <c r="Q93" t="s">
        <v>27</v>
      </c>
    </row>
    <row r="94" spans="1:17">
      <c r="A94">
        <v>33</v>
      </c>
      <c r="B94" s="1">
        <v>44609</v>
      </c>
      <c r="C94">
        <v>2159</v>
      </c>
      <c r="D94">
        <v>6</v>
      </c>
      <c r="E94" t="s">
        <v>56</v>
      </c>
      <c r="F94">
        <v>6</v>
      </c>
      <c r="G94">
        <v>2.75</v>
      </c>
      <c r="H94">
        <v>173</v>
      </c>
      <c r="I94" cm="1">
        <f t="array" ref="I94">_xlfn.XLOOKUP(Table72[[#This Row],[OrderID]],Table3[[#All],[OrderID]],Table3[[#All],[CustomerID]])</f>
        <v>3</v>
      </c>
      <c r="J94" t="s">
        <v>22</v>
      </c>
      <c r="K94" t="s">
        <v>23</v>
      </c>
      <c r="L94" t="s">
        <v>24</v>
      </c>
      <c r="M94" t="s">
        <v>25</v>
      </c>
      <c r="N94" t="s">
        <v>26</v>
      </c>
      <c r="O94" t="s">
        <v>61</v>
      </c>
      <c r="P94" t="s">
        <v>14</v>
      </c>
      <c r="Q94" t="s">
        <v>27</v>
      </c>
    </row>
    <row r="95" spans="1:17">
      <c r="A95">
        <v>34</v>
      </c>
      <c r="B95" s="1">
        <v>44610</v>
      </c>
      <c r="C95">
        <v>1196</v>
      </c>
      <c r="D95">
        <v>2</v>
      </c>
      <c r="E95" t="s">
        <v>52</v>
      </c>
      <c r="F95">
        <v>1</v>
      </c>
      <c r="G95">
        <v>0.5</v>
      </c>
      <c r="H95">
        <v>196</v>
      </c>
      <c r="I95" cm="1">
        <f t="array" ref="I95">_xlfn.XLOOKUP(Table72[[#This Row],[OrderID]],Table3[[#All],[OrderID]],Table3[[#All],[CustomerID]])</f>
        <v>2</v>
      </c>
      <c r="J95" t="s">
        <v>16</v>
      </c>
      <c r="K95" t="s">
        <v>17</v>
      </c>
      <c r="L95" t="s">
        <v>18</v>
      </c>
      <c r="M95" t="s">
        <v>19</v>
      </c>
      <c r="N95" t="s">
        <v>20</v>
      </c>
      <c r="O95" t="s">
        <v>58</v>
      </c>
      <c r="P95" t="s">
        <v>14</v>
      </c>
      <c r="Q95" t="s">
        <v>21</v>
      </c>
    </row>
    <row r="96" spans="1:17">
      <c r="A96">
        <v>34</v>
      </c>
      <c r="B96" s="1">
        <v>44610</v>
      </c>
      <c r="C96">
        <v>1196</v>
      </c>
      <c r="D96">
        <v>1</v>
      </c>
      <c r="E96" t="s">
        <v>51</v>
      </c>
      <c r="F96">
        <v>5</v>
      </c>
      <c r="G96">
        <v>2</v>
      </c>
      <c r="H96">
        <v>200</v>
      </c>
      <c r="I96" cm="1">
        <f t="array" ref="I96">_xlfn.XLOOKUP(Table72[[#This Row],[OrderID]],Table3[[#All],[OrderID]],Table3[[#All],[CustomerID]])</f>
        <v>2</v>
      </c>
      <c r="J96" t="s">
        <v>16</v>
      </c>
      <c r="K96" t="s">
        <v>17</v>
      </c>
      <c r="L96" t="s">
        <v>18</v>
      </c>
      <c r="M96" t="s">
        <v>19</v>
      </c>
      <c r="N96" t="s">
        <v>20</v>
      </c>
      <c r="O96" t="s">
        <v>58</v>
      </c>
      <c r="P96" t="s">
        <v>14</v>
      </c>
      <c r="Q96" t="s">
        <v>21</v>
      </c>
    </row>
    <row r="97" spans="1:17">
      <c r="A97">
        <v>35</v>
      </c>
      <c r="B97" s="1">
        <v>44613</v>
      </c>
      <c r="C97">
        <v>1165</v>
      </c>
      <c r="D97">
        <v>5</v>
      </c>
      <c r="E97" t="s">
        <v>55</v>
      </c>
      <c r="F97">
        <v>3</v>
      </c>
      <c r="G97">
        <v>1.25</v>
      </c>
      <c r="H97">
        <v>113</v>
      </c>
      <c r="I97" cm="1">
        <f t="array" ref="I97">_xlfn.XLOOKUP(Table72[[#This Row],[OrderID]],Table3[[#All],[OrderID]],Table3[[#All],[CustomerID]])</f>
        <v>5</v>
      </c>
      <c r="J97" t="s">
        <v>34</v>
      </c>
      <c r="K97" t="s">
        <v>35</v>
      </c>
      <c r="L97" t="s">
        <v>36</v>
      </c>
      <c r="M97" t="s">
        <v>37</v>
      </c>
      <c r="N97" t="s">
        <v>38</v>
      </c>
      <c r="O97" t="s">
        <v>57</v>
      </c>
      <c r="P97" t="s">
        <v>14</v>
      </c>
      <c r="Q97" t="s">
        <v>39</v>
      </c>
    </row>
    <row r="98" spans="1:17">
      <c r="A98">
        <v>35</v>
      </c>
      <c r="B98" s="1">
        <v>44613</v>
      </c>
      <c r="C98">
        <v>1165</v>
      </c>
      <c r="D98">
        <v>3</v>
      </c>
      <c r="E98" t="s">
        <v>53</v>
      </c>
      <c r="F98">
        <v>5</v>
      </c>
      <c r="G98">
        <v>2.2000000000000002</v>
      </c>
      <c r="H98">
        <v>34</v>
      </c>
      <c r="I98" cm="1">
        <f t="array" ref="I98">_xlfn.XLOOKUP(Table72[[#This Row],[OrderID]],Table3[[#All],[OrderID]],Table3[[#All],[CustomerID]])</f>
        <v>5</v>
      </c>
      <c r="J98" t="s">
        <v>34</v>
      </c>
      <c r="K98" t="s">
        <v>35</v>
      </c>
      <c r="L98" t="s">
        <v>36</v>
      </c>
      <c r="M98" t="s">
        <v>37</v>
      </c>
      <c r="N98" t="s">
        <v>38</v>
      </c>
      <c r="O98" t="s">
        <v>57</v>
      </c>
      <c r="P98" t="s">
        <v>14</v>
      </c>
      <c r="Q98" t="s">
        <v>39</v>
      </c>
    </row>
    <row r="99" spans="1:17">
      <c r="A99">
        <v>35</v>
      </c>
      <c r="B99" s="1">
        <v>44613</v>
      </c>
      <c r="C99">
        <v>1165</v>
      </c>
      <c r="D99">
        <v>4</v>
      </c>
      <c r="E99" t="s">
        <v>54</v>
      </c>
      <c r="F99">
        <v>4</v>
      </c>
      <c r="G99">
        <v>1.5</v>
      </c>
      <c r="H99">
        <v>164</v>
      </c>
      <c r="I99" cm="1">
        <f t="array" ref="I99">_xlfn.XLOOKUP(Table72[[#This Row],[OrderID]],Table3[[#All],[OrderID]],Table3[[#All],[CustomerID]])</f>
        <v>5</v>
      </c>
      <c r="J99" t="s">
        <v>34</v>
      </c>
      <c r="K99" t="s">
        <v>35</v>
      </c>
      <c r="L99" t="s">
        <v>36</v>
      </c>
      <c r="M99" t="s">
        <v>37</v>
      </c>
      <c r="N99" t="s">
        <v>38</v>
      </c>
      <c r="O99" t="s">
        <v>57</v>
      </c>
      <c r="P99" t="s">
        <v>14</v>
      </c>
      <c r="Q99" t="s">
        <v>39</v>
      </c>
    </row>
    <row r="100" spans="1:17">
      <c r="A100">
        <v>36</v>
      </c>
      <c r="B100" s="1">
        <v>44617</v>
      </c>
      <c r="C100">
        <v>1391</v>
      </c>
      <c r="D100">
        <v>1</v>
      </c>
      <c r="E100" t="s">
        <v>51</v>
      </c>
      <c r="F100">
        <v>5</v>
      </c>
      <c r="G100">
        <v>2</v>
      </c>
      <c r="H100">
        <v>116</v>
      </c>
      <c r="I100" cm="1">
        <f t="array" ref="I100">_xlfn.XLOOKUP(Table72[[#This Row],[OrderID]],Table3[[#All],[OrderID]],Table3[[#All],[CustomerID]])</f>
        <v>4</v>
      </c>
      <c r="J100" t="s">
        <v>28</v>
      </c>
      <c r="K100" t="s">
        <v>29</v>
      </c>
      <c r="L100" t="s">
        <v>30</v>
      </c>
      <c r="M100" t="s">
        <v>31</v>
      </c>
      <c r="N100" t="s">
        <v>32</v>
      </c>
      <c r="O100" t="s">
        <v>60</v>
      </c>
      <c r="P100" t="s">
        <v>14</v>
      </c>
      <c r="Q100" t="s">
        <v>33</v>
      </c>
    </row>
    <row r="101" spans="1:17">
      <c r="A101">
        <v>36</v>
      </c>
      <c r="B101" s="1">
        <v>44617</v>
      </c>
      <c r="C101">
        <v>1391</v>
      </c>
      <c r="D101">
        <v>4</v>
      </c>
      <c r="E101" t="s">
        <v>54</v>
      </c>
      <c r="F101">
        <v>4</v>
      </c>
      <c r="G101">
        <v>1.5</v>
      </c>
      <c r="H101">
        <v>127</v>
      </c>
      <c r="I101" cm="1">
        <f t="array" ref="I101">_xlfn.XLOOKUP(Table72[[#This Row],[OrderID]],Table3[[#All],[OrderID]],Table3[[#All],[CustomerID]])</f>
        <v>4</v>
      </c>
      <c r="J101" t="s">
        <v>28</v>
      </c>
      <c r="K101" t="s">
        <v>29</v>
      </c>
      <c r="L101" t="s">
        <v>30</v>
      </c>
      <c r="M101" t="s">
        <v>31</v>
      </c>
      <c r="N101" t="s">
        <v>32</v>
      </c>
      <c r="O101" t="s">
        <v>60</v>
      </c>
      <c r="P101" t="s">
        <v>14</v>
      </c>
      <c r="Q101" t="s">
        <v>33</v>
      </c>
    </row>
    <row r="102" spans="1:17">
      <c r="A102">
        <v>36</v>
      </c>
      <c r="B102" s="1">
        <v>44617</v>
      </c>
      <c r="C102">
        <v>1391</v>
      </c>
      <c r="D102">
        <v>5</v>
      </c>
      <c r="E102" t="s">
        <v>55</v>
      </c>
      <c r="F102">
        <v>3</v>
      </c>
      <c r="G102">
        <v>1.25</v>
      </c>
      <c r="H102">
        <v>101</v>
      </c>
      <c r="I102" cm="1">
        <f t="array" ref="I102">_xlfn.XLOOKUP(Table72[[#This Row],[OrderID]],Table3[[#All],[OrderID]],Table3[[#All],[CustomerID]])</f>
        <v>4</v>
      </c>
      <c r="J102" t="s">
        <v>28</v>
      </c>
      <c r="K102" t="s">
        <v>29</v>
      </c>
      <c r="L102" t="s">
        <v>30</v>
      </c>
      <c r="M102" t="s">
        <v>31</v>
      </c>
      <c r="N102" t="s">
        <v>32</v>
      </c>
      <c r="O102" t="s">
        <v>60</v>
      </c>
      <c r="P102" t="s">
        <v>14</v>
      </c>
      <c r="Q102" t="s">
        <v>33</v>
      </c>
    </row>
    <row r="103" spans="1:17">
      <c r="A103">
        <v>37</v>
      </c>
      <c r="B103" s="1">
        <v>44617</v>
      </c>
      <c r="C103">
        <v>1415</v>
      </c>
      <c r="D103">
        <v>1</v>
      </c>
      <c r="E103" t="s">
        <v>51</v>
      </c>
      <c r="F103">
        <v>5</v>
      </c>
      <c r="G103">
        <v>2</v>
      </c>
      <c r="H103">
        <v>136</v>
      </c>
      <c r="I103" cm="1">
        <f t="array" ref="I103">_xlfn.XLOOKUP(Table72[[#This Row],[OrderID]],Table3[[#All],[OrderID]],Table3[[#All],[CustomerID]])</f>
        <v>2</v>
      </c>
      <c r="J103" t="s">
        <v>16</v>
      </c>
      <c r="K103" t="s">
        <v>17</v>
      </c>
      <c r="L103" t="s">
        <v>18</v>
      </c>
      <c r="M103" t="s">
        <v>19</v>
      </c>
      <c r="N103" t="s">
        <v>20</v>
      </c>
      <c r="O103" t="s">
        <v>58</v>
      </c>
      <c r="P103" t="s">
        <v>14</v>
      </c>
      <c r="Q103" t="s">
        <v>21</v>
      </c>
    </row>
    <row r="104" spans="1:17">
      <c r="A104">
        <v>37</v>
      </c>
      <c r="B104" s="1">
        <v>44617</v>
      </c>
      <c r="C104">
        <v>1415</v>
      </c>
      <c r="D104">
        <v>5</v>
      </c>
      <c r="E104" t="s">
        <v>55</v>
      </c>
      <c r="F104">
        <v>3</v>
      </c>
      <c r="G104">
        <v>1.25</v>
      </c>
      <c r="H104">
        <v>245</v>
      </c>
      <c r="I104" cm="1">
        <f t="array" ref="I104">_xlfn.XLOOKUP(Table72[[#This Row],[OrderID]],Table3[[#All],[OrderID]],Table3[[#All],[CustomerID]])</f>
        <v>2</v>
      </c>
      <c r="J104" t="s">
        <v>16</v>
      </c>
      <c r="K104" t="s">
        <v>17</v>
      </c>
      <c r="L104" t="s">
        <v>18</v>
      </c>
      <c r="M104" t="s">
        <v>19</v>
      </c>
      <c r="N104" t="s">
        <v>20</v>
      </c>
      <c r="O104" t="s">
        <v>58</v>
      </c>
      <c r="P104" t="s">
        <v>14</v>
      </c>
      <c r="Q104" t="s">
        <v>21</v>
      </c>
    </row>
    <row r="105" spans="1:17">
      <c r="A105">
        <v>38</v>
      </c>
      <c r="B105" s="1">
        <v>44618</v>
      </c>
      <c r="C105">
        <v>685</v>
      </c>
      <c r="D105">
        <v>1</v>
      </c>
      <c r="E105" t="s">
        <v>51</v>
      </c>
      <c r="F105">
        <v>5</v>
      </c>
      <c r="G105">
        <v>2</v>
      </c>
      <c r="H105">
        <v>137</v>
      </c>
      <c r="I105" cm="1">
        <f t="array" ref="I105">_xlfn.XLOOKUP(Table72[[#This Row],[OrderID]],Table3[[#All],[OrderID]],Table3[[#All],[CustomerID]])</f>
        <v>1</v>
      </c>
      <c r="J105" t="s">
        <v>9</v>
      </c>
      <c r="K105" t="s">
        <v>10</v>
      </c>
      <c r="L105" t="s">
        <v>11</v>
      </c>
      <c r="M105" t="s">
        <v>12</v>
      </c>
      <c r="N105" t="s">
        <v>13</v>
      </c>
      <c r="O105" t="s">
        <v>59</v>
      </c>
      <c r="P105" t="s">
        <v>14</v>
      </c>
      <c r="Q105" t="s">
        <v>15</v>
      </c>
    </row>
    <row r="106" spans="1:17">
      <c r="A106">
        <v>39</v>
      </c>
      <c r="B106" s="1">
        <v>44618</v>
      </c>
      <c r="C106">
        <v>1094</v>
      </c>
      <c r="D106">
        <v>4</v>
      </c>
      <c r="E106" t="s">
        <v>54</v>
      </c>
      <c r="F106">
        <v>4</v>
      </c>
      <c r="G106">
        <v>1.5</v>
      </c>
      <c r="H106">
        <v>14</v>
      </c>
      <c r="I106" cm="1">
        <f t="array" ref="I106">_xlfn.XLOOKUP(Table72[[#This Row],[OrderID]],Table3[[#All],[OrderID]],Table3[[#All],[CustomerID]])</f>
        <v>5</v>
      </c>
      <c r="J106" t="s">
        <v>34</v>
      </c>
      <c r="K106" t="s">
        <v>35</v>
      </c>
      <c r="L106" t="s">
        <v>36</v>
      </c>
      <c r="M106" t="s">
        <v>37</v>
      </c>
      <c r="N106" t="s">
        <v>38</v>
      </c>
      <c r="O106" t="s">
        <v>57</v>
      </c>
      <c r="P106" t="s">
        <v>14</v>
      </c>
      <c r="Q106" t="s">
        <v>39</v>
      </c>
    </row>
    <row r="107" spans="1:17">
      <c r="A107">
        <v>39</v>
      </c>
      <c r="B107" s="1">
        <v>44618</v>
      </c>
      <c r="C107">
        <v>1094</v>
      </c>
      <c r="D107">
        <v>6</v>
      </c>
      <c r="E107" t="s">
        <v>56</v>
      </c>
      <c r="F107">
        <v>6</v>
      </c>
      <c r="G107">
        <v>2.75</v>
      </c>
      <c r="H107">
        <v>173</v>
      </c>
      <c r="I107" cm="1">
        <f t="array" ref="I107">_xlfn.XLOOKUP(Table72[[#This Row],[OrderID]],Table3[[#All],[OrderID]],Table3[[#All],[CustomerID]])</f>
        <v>5</v>
      </c>
      <c r="J107" t="s">
        <v>34</v>
      </c>
      <c r="K107" t="s">
        <v>35</v>
      </c>
      <c r="L107" t="s">
        <v>36</v>
      </c>
      <c r="M107" t="s">
        <v>37</v>
      </c>
      <c r="N107" t="s">
        <v>38</v>
      </c>
      <c r="O107" t="s">
        <v>57</v>
      </c>
      <c r="P107" t="s">
        <v>14</v>
      </c>
      <c r="Q107" t="s">
        <v>39</v>
      </c>
    </row>
    <row r="108" spans="1:17">
      <c r="A108">
        <v>40</v>
      </c>
      <c r="B108" s="1">
        <v>44620</v>
      </c>
      <c r="C108">
        <v>487</v>
      </c>
      <c r="D108">
        <v>4</v>
      </c>
      <c r="E108" t="s">
        <v>54</v>
      </c>
      <c r="F108">
        <v>4</v>
      </c>
      <c r="G108">
        <v>1.5</v>
      </c>
      <c r="H108">
        <v>13</v>
      </c>
      <c r="I108" cm="1">
        <f t="array" ref="I108">_xlfn.XLOOKUP(Table72[[#This Row],[OrderID]],Table3[[#All],[OrderID]],Table3[[#All],[CustomerID]])</f>
        <v>1</v>
      </c>
      <c r="J108" t="s">
        <v>9</v>
      </c>
      <c r="K108" t="s">
        <v>10</v>
      </c>
      <c r="L108" t="s">
        <v>11</v>
      </c>
      <c r="M108" t="s">
        <v>12</v>
      </c>
      <c r="N108" t="s">
        <v>13</v>
      </c>
      <c r="O108" t="s">
        <v>59</v>
      </c>
      <c r="P108" t="s">
        <v>14</v>
      </c>
      <c r="Q108" t="s">
        <v>15</v>
      </c>
    </row>
    <row r="109" spans="1:17">
      <c r="A109">
        <v>40</v>
      </c>
      <c r="B109" s="1">
        <v>44620</v>
      </c>
      <c r="C109">
        <v>487</v>
      </c>
      <c r="D109">
        <v>3</v>
      </c>
      <c r="E109" t="s">
        <v>53</v>
      </c>
      <c r="F109">
        <v>5</v>
      </c>
      <c r="G109">
        <v>2.2000000000000002</v>
      </c>
      <c r="H109">
        <v>87</v>
      </c>
      <c r="I109" cm="1">
        <f t="array" ref="I109">_xlfn.XLOOKUP(Table72[[#This Row],[OrderID]],Table3[[#All],[OrderID]],Table3[[#All],[CustomerID]])</f>
        <v>1</v>
      </c>
      <c r="J109" t="s">
        <v>9</v>
      </c>
      <c r="K109" t="s">
        <v>10</v>
      </c>
      <c r="L109" t="s">
        <v>11</v>
      </c>
      <c r="M109" t="s">
        <v>12</v>
      </c>
      <c r="N109" t="s">
        <v>13</v>
      </c>
      <c r="O109" t="s">
        <v>59</v>
      </c>
      <c r="P109" t="s">
        <v>14</v>
      </c>
      <c r="Q109" t="s">
        <v>15</v>
      </c>
    </row>
    <row r="110" spans="1:17">
      <c r="A110">
        <v>41</v>
      </c>
      <c r="B110" s="1">
        <v>44620</v>
      </c>
      <c r="C110">
        <v>240</v>
      </c>
      <c r="D110">
        <v>1</v>
      </c>
      <c r="E110" t="s">
        <v>51</v>
      </c>
      <c r="F110">
        <v>5</v>
      </c>
      <c r="G110">
        <v>2</v>
      </c>
      <c r="H110">
        <v>48</v>
      </c>
      <c r="I110" cm="1">
        <f t="array" ref="I110">_xlfn.XLOOKUP(Table72[[#This Row],[OrderID]],Table3[[#All],[OrderID]],Table3[[#All],[CustomerID]])</f>
        <v>5</v>
      </c>
      <c r="J110" t="s">
        <v>34</v>
      </c>
      <c r="K110" t="s">
        <v>35</v>
      </c>
      <c r="L110" t="s">
        <v>36</v>
      </c>
      <c r="M110" t="s">
        <v>37</v>
      </c>
      <c r="N110" t="s">
        <v>38</v>
      </c>
      <c r="O110" t="s">
        <v>57</v>
      </c>
      <c r="P110" t="s">
        <v>14</v>
      </c>
      <c r="Q110" t="s">
        <v>39</v>
      </c>
    </row>
    <row r="111" spans="1:17">
      <c r="A111">
        <v>42</v>
      </c>
      <c r="B111" s="1">
        <v>44627</v>
      </c>
      <c r="C111">
        <v>1351</v>
      </c>
      <c r="D111">
        <v>2</v>
      </c>
      <c r="E111" t="s">
        <v>52</v>
      </c>
      <c r="F111">
        <v>1</v>
      </c>
      <c r="G111">
        <v>0.5</v>
      </c>
      <c r="H111">
        <v>123</v>
      </c>
      <c r="I111" cm="1">
        <f t="array" ref="I111">_xlfn.XLOOKUP(Table72[[#This Row],[OrderID]],Table3[[#All],[OrderID]],Table3[[#All],[CustomerID]])</f>
        <v>1</v>
      </c>
      <c r="J111" t="s">
        <v>9</v>
      </c>
      <c r="K111" t="s">
        <v>10</v>
      </c>
      <c r="L111" t="s">
        <v>11</v>
      </c>
      <c r="M111" t="s">
        <v>12</v>
      </c>
      <c r="N111" t="s">
        <v>13</v>
      </c>
      <c r="O111" t="s">
        <v>59</v>
      </c>
      <c r="P111" t="s">
        <v>14</v>
      </c>
      <c r="Q111" t="s">
        <v>15</v>
      </c>
    </row>
    <row r="112" spans="1:17">
      <c r="A112">
        <v>42</v>
      </c>
      <c r="B112" s="1">
        <v>44627</v>
      </c>
      <c r="C112">
        <v>1351</v>
      </c>
      <c r="D112">
        <v>4</v>
      </c>
      <c r="E112" t="s">
        <v>54</v>
      </c>
      <c r="F112">
        <v>4</v>
      </c>
      <c r="G112">
        <v>1.5</v>
      </c>
      <c r="H112">
        <v>217</v>
      </c>
      <c r="I112" cm="1">
        <f t="array" ref="I112">_xlfn.XLOOKUP(Table72[[#This Row],[OrderID]],Table3[[#All],[OrderID]],Table3[[#All],[CustomerID]])</f>
        <v>1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59</v>
      </c>
      <c r="P112" t="s">
        <v>14</v>
      </c>
      <c r="Q112" t="s">
        <v>15</v>
      </c>
    </row>
    <row r="113" spans="1:17">
      <c r="A113">
        <v>42</v>
      </c>
      <c r="B113" s="1">
        <v>44627</v>
      </c>
      <c r="C113">
        <v>1351</v>
      </c>
      <c r="D113">
        <v>5</v>
      </c>
      <c r="E113" t="s">
        <v>55</v>
      </c>
      <c r="F113">
        <v>3</v>
      </c>
      <c r="G113">
        <v>1.25</v>
      </c>
      <c r="H113">
        <v>120</v>
      </c>
      <c r="I113" cm="1">
        <f t="array" ref="I113">_xlfn.XLOOKUP(Table72[[#This Row],[OrderID]],Table3[[#All],[OrderID]],Table3[[#All],[CustomerID]])</f>
        <v>1</v>
      </c>
      <c r="J113" t="s">
        <v>9</v>
      </c>
      <c r="K113" t="s">
        <v>10</v>
      </c>
      <c r="L113" t="s">
        <v>11</v>
      </c>
      <c r="M113" t="s">
        <v>12</v>
      </c>
      <c r="N113" t="s">
        <v>13</v>
      </c>
      <c r="O113" t="s">
        <v>59</v>
      </c>
      <c r="P113" t="s">
        <v>14</v>
      </c>
      <c r="Q113" t="s">
        <v>15</v>
      </c>
    </row>
    <row r="114" spans="1:17">
      <c r="A114">
        <v>43</v>
      </c>
      <c r="B114" s="1">
        <v>44627</v>
      </c>
      <c r="C114">
        <v>3518</v>
      </c>
      <c r="D114">
        <v>3</v>
      </c>
      <c r="E114" t="s">
        <v>53</v>
      </c>
      <c r="F114">
        <v>5</v>
      </c>
      <c r="G114">
        <v>2.2000000000000002</v>
      </c>
      <c r="H114">
        <v>125</v>
      </c>
      <c r="I114" cm="1">
        <f t="array" ref="I114">_xlfn.XLOOKUP(Table72[[#This Row],[OrderID]],Table3[[#All],[OrderID]],Table3[[#All],[CustomerID]])</f>
        <v>5</v>
      </c>
      <c r="J114" t="s">
        <v>34</v>
      </c>
      <c r="K114" t="s">
        <v>35</v>
      </c>
      <c r="L114" t="s">
        <v>36</v>
      </c>
      <c r="M114" t="s">
        <v>37</v>
      </c>
      <c r="N114" t="s">
        <v>38</v>
      </c>
      <c r="O114" t="s">
        <v>57</v>
      </c>
      <c r="P114" t="s">
        <v>14</v>
      </c>
      <c r="Q114" t="s">
        <v>39</v>
      </c>
    </row>
    <row r="115" spans="1:17">
      <c r="A115">
        <v>43</v>
      </c>
      <c r="B115" s="1">
        <v>44627</v>
      </c>
      <c r="C115">
        <v>3518</v>
      </c>
      <c r="D115">
        <v>1</v>
      </c>
      <c r="E115" t="s">
        <v>51</v>
      </c>
      <c r="F115">
        <v>5</v>
      </c>
      <c r="G115">
        <v>2</v>
      </c>
      <c r="H115">
        <v>209</v>
      </c>
      <c r="I115" cm="1">
        <f t="array" ref="I115">_xlfn.XLOOKUP(Table72[[#This Row],[OrderID]],Table3[[#All],[OrderID]],Table3[[#All],[CustomerID]])</f>
        <v>5</v>
      </c>
      <c r="J115" t="s">
        <v>34</v>
      </c>
      <c r="K115" t="s">
        <v>35</v>
      </c>
      <c r="L115" t="s">
        <v>36</v>
      </c>
      <c r="M115" t="s">
        <v>37</v>
      </c>
      <c r="N115" t="s">
        <v>38</v>
      </c>
      <c r="O115" t="s">
        <v>57</v>
      </c>
      <c r="P115" t="s">
        <v>14</v>
      </c>
      <c r="Q115" t="s">
        <v>39</v>
      </c>
    </row>
    <row r="116" spans="1:17">
      <c r="A116">
        <v>43</v>
      </c>
      <c r="B116" s="1">
        <v>44627</v>
      </c>
      <c r="C116">
        <v>3518</v>
      </c>
      <c r="D116">
        <v>6</v>
      </c>
      <c r="E116" t="s">
        <v>56</v>
      </c>
      <c r="F116">
        <v>6</v>
      </c>
      <c r="G116">
        <v>2.75</v>
      </c>
      <c r="H116">
        <v>186</v>
      </c>
      <c r="I116" cm="1">
        <f t="array" ref="I116">_xlfn.XLOOKUP(Table72[[#This Row],[OrderID]],Table3[[#All],[OrderID]],Table3[[#All],[CustomerID]])</f>
        <v>5</v>
      </c>
      <c r="J116" t="s">
        <v>34</v>
      </c>
      <c r="K116" t="s">
        <v>35</v>
      </c>
      <c r="L116" t="s">
        <v>36</v>
      </c>
      <c r="M116" t="s">
        <v>37</v>
      </c>
      <c r="N116" t="s">
        <v>38</v>
      </c>
      <c r="O116" t="s">
        <v>57</v>
      </c>
      <c r="P116" t="s">
        <v>14</v>
      </c>
      <c r="Q116" t="s">
        <v>39</v>
      </c>
    </row>
    <row r="117" spans="1:17">
      <c r="A117">
        <v>43</v>
      </c>
      <c r="B117" s="1">
        <v>44627</v>
      </c>
      <c r="C117">
        <v>3518</v>
      </c>
      <c r="D117">
        <v>4</v>
      </c>
      <c r="E117" t="s">
        <v>54</v>
      </c>
      <c r="F117">
        <v>4</v>
      </c>
      <c r="G117">
        <v>1.5</v>
      </c>
      <c r="H117">
        <v>18</v>
      </c>
      <c r="I117" cm="1">
        <f t="array" ref="I117">_xlfn.XLOOKUP(Table72[[#This Row],[OrderID]],Table3[[#All],[OrderID]],Table3[[#All],[CustomerID]])</f>
        <v>5</v>
      </c>
      <c r="J117" t="s">
        <v>34</v>
      </c>
      <c r="K117" t="s">
        <v>35</v>
      </c>
      <c r="L117" t="s">
        <v>36</v>
      </c>
      <c r="M117" t="s">
        <v>37</v>
      </c>
      <c r="N117" t="s">
        <v>38</v>
      </c>
      <c r="O117" t="s">
        <v>57</v>
      </c>
      <c r="P117" t="s">
        <v>14</v>
      </c>
      <c r="Q117" t="s">
        <v>39</v>
      </c>
    </row>
    <row r="118" spans="1:17">
      <c r="A118">
        <v>43</v>
      </c>
      <c r="B118" s="1">
        <v>44627</v>
      </c>
      <c r="C118">
        <v>3518</v>
      </c>
      <c r="D118">
        <v>5</v>
      </c>
      <c r="E118" t="s">
        <v>55</v>
      </c>
      <c r="F118">
        <v>3</v>
      </c>
      <c r="G118">
        <v>1.25</v>
      </c>
      <c r="H118">
        <v>220</v>
      </c>
      <c r="I118" cm="1">
        <f t="array" ref="I118">_xlfn.XLOOKUP(Table72[[#This Row],[OrderID]],Table3[[#All],[OrderID]],Table3[[#All],[CustomerID]])</f>
        <v>5</v>
      </c>
      <c r="J118" t="s">
        <v>34</v>
      </c>
      <c r="K118" t="s">
        <v>35</v>
      </c>
      <c r="L118" t="s">
        <v>36</v>
      </c>
      <c r="M118" t="s">
        <v>37</v>
      </c>
      <c r="N118" t="s">
        <v>38</v>
      </c>
      <c r="O118" t="s">
        <v>57</v>
      </c>
      <c r="P118" t="s">
        <v>14</v>
      </c>
      <c r="Q118" t="s">
        <v>39</v>
      </c>
    </row>
    <row r="119" spans="1:17">
      <c r="A119">
        <v>44</v>
      </c>
      <c r="B119" s="1">
        <v>44627</v>
      </c>
      <c r="C119">
        <v>952</v>
      </c>
      <c r="D119">
        <v>2</v>
      </c>
      <c r="E119" t="s">
        <v>52</v>
      </c>
      <c r="F119">
        <v>1</v>
      </c>
      <c r="G119">
        <v>0.5</v>
      </c>
      <c r="H119">
        <v>155</v>
      </c>
      <c r="I119" cm="1">
        <f t="array" ref="I119">_xlfn.XLOOKUP(Table72[[#This Row],[OrderID]],Table3[[#All],[OrderID]],Table3[[#All],[CustomerID]])</f>
        <v>3</v>
      </c>
      <c r="J119" t="s">
        <v>22</v>
      </c>
      <c r="K119" t="s">
        <v>23</v>
      </c>
      <c r="L119" t="s">
        <v>24</v>
      </c>
      <c r="M119" t="s">
        <v>25</v>
      </c>
      <c r="N119" t="s">
        <v>26</v>
      </c>
      <c r="O119" t="s">
        <v>61</v>
      </c>
      <c r="P119" t="s">
        <v>14</v>
      </c>
      <c r="Q119" t="s">
        <v>27</v>
      </c>
    </row>
    <row r="120" spans="1:17">
      <c r="A120">
        <v>44</v>
      </c>
      <c r="B120" s="1">
        <v>44627</v>
      </c>
      <c r="C120">
        <v>952</v>
      </c>
      <c r="D120">
        <v>5</v>
      </c>
      <c r="E120" t="s">
        <v>55</v>
      </c>
      <c r="F120">
        <v>3</v>
      </c>
      <c r="G120">
        <v>1.25</v>
      </c>
      <c r="H120">
        <v>239</v>
      </c>
      <c r="I120" cm="1">
        <f t="array" ref="I120">_xlfn.XLOOKUP(Table72[[#This Row],[OrderID]],Table3[[#All],[OrderID]],Table3[[#All],[CustomerID]])</f>
        <v>3</v>
      </c>
      <c r="J120" t="s">
        <v>22</v>
      </c>
      <c r="K120" t="s">
        <v>23</v>
      </c>
      <c r="L120" t="s">
        <v>24</v>
      </c>
      <c r="M120" t="s">
        <v>25</v>
      </c>
      <c r="N120" t="s">
        <v>26</v>
      </c>
      <c r="O120" t="s">
        <v>61</v>
      </c>
      <c r="P120" t="s">
        <v>14</v>
      </c>
      <c r="Q120" t="s">
        <v>27</v>
      </c>
    </row>
    <row r="121" spans="1:17">
      <c r="A121">
        <v>44</v>
      </c>
      <c r="B121" s="1">
        <v>44627</v>
      </c>
      <c r="C121">
        <v>952</v>
      </c>
      <c r="D121">
        <v>4</v>
      </c>
      <c r="E121" t="s">
        <v>54</v>
      </c>
      <c r="F121">
        <v>4</v>
      </c>
      <c r="G121">
        <v>1.5</v>
      </c>
      <c r="H121">
        <v>20</v>
      </c>
      <c r="I121" cm="1">
        <f t="array" ref="I121">_xlfn.XLOOKUP(Table72[[#This Row],[OrderID]],Table3[[#All],[OrderID]],Table3[[#All],[CustomerID]])</f>
        <v>3</v>
      </c>
      <c r="J121" t="s">
        <v>22</v>
      </c>
      <c r="K121" t="s">
        <v>23</v>
      </c>
      <c r="L121" t="s">
        <v>24</v>
      </c>
      <c r="M121" t="s">
        <v>25</v>
      </c>
      <c r="N121" t="s">
        <v>26</v>
      </c>
      <c r="O121" t="s">
        <v>61</v>
      </c>
      <c r="P121" t="s">
        <v>14</v>
      </c>
      <c r="Q121" t="s">
        <v>27</v>
      </c>
    </row>
    <row r="122" spans="1:17">
      <c r="A122">
        <v>45</v>
      </c>
      <c r="B122" s="1">
        <v>44628</v>
      </c>
      <c r="C122">
        <v>2208</v>
      </c>
      <c r="D122">
        <v>6</v>
      </c>
      <c r="E122" t="s">
        <v>56</v>
      </c>
      <c r="F122">
        <v>6</v>
      </c>
      <c r="G122">
        <v>2.75</v>
      </c>
      <c r="H122">
        <v>144</v>
      </c>
      <c r="I122" cm="1">
        <f t="array" ref="I122">_xlfn.XLOOKUP(Table72[[#This Row],[OrderID]],Table3[[#All],[OrderID]],Table3[[#All],[CustomerID]])</f>
        <v>3</v>
      </c>
      <c r="J122" t="s">
        <v>22</v>
      </c>
      <c r="K122" t="s">
        <v>23</v>
      </c>
      <c r="L122" t="s">
        <v>24</v>
      </c>
      <c r="M122" t="s">
        <v>25</v>
      </c>
      <c r="N122" t="s">
        <v>26</v>
      </c>
      <c r="O122" t="s">
        <v>61</v>
      </c>
      <c r="P122" t="s">
        <v>14</v>
      </c>
      <c r="Q122" t="s">
        <v>27</v>
      </c>
    </row>
    <row r="123" spans="1:17">
      <c r="A123">
        <v>45</v>
      </c>
      <c r="B123" s="1">
        <v>44628</v>
      </c>
      <c r="C123">
        <v>2208</v>
      </c>
      <c r="D123">
        <v>4</v>
      </c>
      <c r="E123" t="s">
        <v>54</v>
      </c>
      <c r="F123">
        <v>4</v>
      </c>
      <c r="G123">
        <v>1.5</v>
      </c>
      <c r="H123">
        <v>168</v>
      </c>
      <c r="I123" cm="1">
        <f t="array" ref="I123">_xlfn.XLOOKUP(Table72[[#This Row],[OrderID]],Table3[[#All],[OrderID]],Table3[[#All],[CustomerID]])</f>
        <v>3</v>
      </c>
      <c r="J123" t="s">
        <v>22</v>
      </c>
      <c r="K123" t="s">
        <v>23</v>
      </c>
      <c r="L123" t="s">
        <v>24</v>
      </c>
      <c r="M123" t="s">
        <v>25</v>
      </c>
      <c r="N123" t="s">
        <v>26</v>
      </c>
      <c r="O123" t="s">
        <v>61</v>
      </c>
      <c r="P123" t="s">
        <v>14</v>
      </c>
      <c r="Q123" t="s">
        <v>27</v>
      </c>
    </row>
    <row r="124" spans="1:17">
      <c r="A124">
        <v>45</v>
      </c>
      <c r="B124" s="1">
        <v>44628</v>
      </c>
      <c r="C124">
        <v>2208</v>
      </c>
      <c r="D124">
        <v>5</v>
      </c>
      <c r="E124" t="s">
        <v>55</v>
      </c>
      <c r="F124">
        <v>3</v>
      </c>
      <c r="G124">
        <v>1.25</v>
      </c>
      <c r="H124">
        <v>224</v>
      </c>
      <c r="I124" cm="1">
        <f t="array" ref="I124">_xlfn.XLOOKUP(Table72[[#This Row],[OrderID]],Table3[[#All],[OrderID]],Table3[[#All],[CustomerID]])</f>
        <v>3</v>
      </c>
      <c r="J124" t="s">
        <v>22</v>
      </c>
      <c r="K124" t="s">
        <v>23</v>
      </c>
      <c r="L124" t="s">
        <v>24</v>
      </c>
      <c r="M124" t="s">
        <v>25</v>
      </c>
      <c r="N124" t="s">
        <v>26</v>
      </c>
      <c r="O124" t="s">
        <v>61</v>
      </c>
      <c r="P124" t="s">
        <v>14</v>
      </c>
      <c r="Q124" t="s">
        <v>27</v>
      </c>
    </row>
    <row r="125" spans="1:17">
      <c r="A125">
        <v>46</v>
      </c>
      <c r="B125" s="1">
        <v>44629</v>
      </c>
      <c r="C125">
        <v>648</v>
      </c>
      <c r="D125">
        <v>2</v>
      </c>
      <c r="E125" t="s">
        <v>52</v>
      </c>
      <c r="F125">
        <v>1</v>
      </c>
      <c r="G125">
        <v>0.5</v>
      </c>
      <c r="H125">
        <v>177</v>
      </c>
      <c r="I125" cm="1">
        <f t="array" ref="I125">_xlfn.XLOOKUP(Table72[[#This Row],[OrderID]],Table3[[#All],[OrderID]],Table3[[#All],[CustomerID]])</f>
        <v>5</v>
      </c>
      <c r="J125" t="s">
        <v>34</v>
      </c>
      <c r="K125" t="s">
        <v>35</v>
      </c>
      <c r="L125" t="s">
        <v>36</v>
      </c>
      <c r="M125" t="s">
        <v>37</v>
      </c>
      <c r="N125" t="s">
        <v>38</v>
      </c>
      <c r="O125" t="s">
        <v>57</v>
      </c>
      <c r="P125" t="s">
        <v>14</v>
      </c>
      <c r="Q125" t="s">
        <v>39</v>
      </c>
    </row>
    <row r="126" spans="1:17">
      <c r="A126">
        <v>46</v>
      </c>
      <c r="B126" s="1">
        <v>44629</v>
      </c>
      <c r="C126">
        <v>648</v>
      </c>
      <c r="D126">
        <v>4</v>
      </c>
      <c r="E126" t="s">
        <v>54</v>
      </c>
      <c r="F126">
        <v>4</v>
      </c>
      <c r="G126">
        <v>1.5</v>
      </c>
      <c r="H126">
        <v>66</v>
      </c>
      <c r="I126" cm="1">
        <f t="array" ref="I126">_xlfn.XLOOKUP(Table72[[#This Row],[OrderID]],Table3[[#All],[OrderID]],Table3[[#All],[CustomerID]])</f>
        <v>5</v>
      </c>
      <c r="J126" t="s">
        <v>34</v>
      </c>
      <c r="K126" t="s">
        <v>35</v>
      </c>
      <c r="L126" t="s">
        <v>36</v>
      </c>
      <c r="M126" t="s">
        <v>37</v>
      </c>
      <c r="N126" t="s">
        <v>38</v>
      </c>
      <c r="O126" t="s">
        <v>57</v>
      </c>
      <c r="P126" t="s">
        <v>14</v>
      </c>
      <c r="Q126" t="s">
        <v>39</v>
      </c>
    </row>
    <row r="127" spans="1:17">
      <c r="A127">
        <v>46</v>
      </c>
      <c r="B127" s="1">
        <v>44629</v>
      </c>
      <c r="C127">
        <v>648</v>
      </c>
      <c r="D127">
        <v>5</v>
      </c>
      <c r="E127" t="s">
        <v>55</v>
      </c>
      <c r="F127">
        <v>3</v>
      </c>
      <c r="G127">
        <v>1.25</v>
      </c>
      <c r="H127">
        <v>69</v>
      </c>
      <c r="I127" cm="1">
        <f t="array" ref="I127">_xlfn.XLOOKUP(Table72[[#This Row],[OrderID]],Table3[[#All],[OrderID]],Table3[[#All],[CustomerID]])</f>
        <v>5</v>
      </c>
      <c r="J127" t="s">
        <v>34</v>
      </c>
      <c r="K127" t="s">
        <v>35</v>
      </c>
      <c r="L127" t="s">
        <v>36</v>
      </c>
      <c r="M127" t="s">
        <v>37</v>
      </c>
      <c r="N127" t="s">
        <v>38</v>
      </c>
      <c r="O127" t="s">
        <v>57</v>
      </c>
      <c r="P127" t="s">
        <v>14</v>
      </c>
      <c r="Q127" t="s">
        <v>39</v>
      </c>
    </row>
    <row r="128" spans="1:17">
      <c r="A128">
        <v>47</v>
      </c>
      <c r="B128" s="1">
        <v>44630</v>
      </c>
      <c r="C128">
        <v>798</v>
      </c>
      <c r="D128">
        <v>4</v>
      </c>
      <c r="E128" t="s">
        <v>54</v>
      </c>
      <c r="F128">
        <v>4</v>
      </c>
      <c r="G128">
        <v>1.5</v>
      </c>
      <c r="H128">
        <v>132</v>
      </c>
      <c r="I128" cm="1">
        <f t="array" ref="I128">_xlfn.XLOOKUP(Table72[[#This Row],[OrderID]],Table3[[#All],[OrderID]],Table3[[#All],[CustomerID]])</f>
        <v>3</v>
      </c>
      <c r="J128" t="s">
        <v>22</v>
      </c>
      <c r="K128" t="s">
        <v>23</v>
      </c>
      <c r="L128" t="s">
        <v>24</v>
      </c>
      <c r="M128" t="s">
        <v>25</v>
      </c>
      <c r="N128" t="s">
        <v>26</v>
      </c>
      <c r="O128" t="s">
        <v>61</v>
      </c>
      <c r="P128" t="s">
        <v>14</v>
      </c>
      <c r="Q128" t="s">
        <v>27</v>
      </c>
    </row>
    <row r="129" spans="1:17">
      <c r="A129">
        <v>47</v>
      </c>
      <c r="B129" s="1">
        <v>44630</v>
      </c>
      <c r="C129">
        <v>798</v>
      </c>
      <c r="D129">
        <v>6</v>
      </c>
      <c r="E129" t="s">
        <v>56</v>
      </c>
      <c r="F129">
        <v>6</v>
      </c>
      <c r="G129">
        <v>2.75</v>
      </c>
      <c r="H129">
        <v>45</v>
      </c>
      <c r="I129" cm="1">
        <f t="array" ref="I129">_xlfn.XLOOKUP(Table72[[#This Row],[OrderID]],Table3[[#All],[OrderID]],Table3[[#All],[CustomerID]])</f>
        <v>3</v>
      </c>
      <c r="J129" t="s">
        <v>22</v>
      </c>
      <c r="K129" t="s">
        <v>23</v>
      </c>
      <c r="L129" t="s">
        <v>24</v>
      </c>
      <c r="M129" t="s">
        <v>25</v>
      </c>
      <c r="N129" t="s">
        <v>26</v>
      </c>
      <c r="O129" t="s">
        <v>61</v>
      </c>
      <c r="P129" t="s">
        <v>14</v>
      </c>
      <c r="Q129" t="s">
        <v>27</v>
      </c>
    </row>
    <row r="130" spans="1:17">
      <c r="A130">
        <v>48</v>
      </c>
      <c r="B130" s="1">
        <v>44632</v>
      </c>
      <c r="C130">
        <v>655</v>
      </c>
      <c r="D130">
        <v>3</v>
      </c>
      <c r="E130" t="s">
        <v>53</v>
      </c>
      <c r="F130">
        <v>5</v>
      </c>
      <c r="G130">
        <v>2.2000000000000002</v>
      </c>
      <c r="H130">
        <v>131</v>
      </c>
      <c r="I130" cm="1">
        <f t="array" ref="I130">_xlfn.XLOOKUP(Table72[[#This Row],[OrderID]],Table3[[#All],[OrderID]],Table3[[#All],[CustomerID]])</f>
        <v>4</v>
      </c>
      <c r="J130" t="s">
        <v>28</v>
      </c>
      <c r="K130" t="s">
        <v>29</v>
      </c>
      <c r="L130" t="s">
        <v>30</v>
      </c>
      <c r="M130" t="s">
        <v>31</v>
      </c>
      <c r="N130" t="s">
        <v>32</v>
      </c>
      <c r="O130" t="s">
        <v>60</v>
      </c>
      <c r="P130" t="s">
        <v>14</v>
      </c>
      <c r="Q130" t="s">
        <v>33</v>
      </c>
    </row>
    <row r="131" spans="1:17">
      <c r="A131">
        <v>49</v>
      </c>
      <c r="B131" s="1">
        <v>44633</v>
      </c>
      <c r="C131">
        <v>588</v>
      </c>
      <c r="D131">
        <v>4</v>
      </c>
      <c r="E131" t="s">
        <v>54</v>
      </c>
      <c r="F131">
        <v>4</v>
      </c>
      <c r="G131">
        <v>1.5</v>
      </c>
      <c r="H131">
        <v>147</v>
      </c>
      <c r="I131" cm="1">
        <f t="array" ref="I131">_xlfn.XLOOKUP(Table72[[#This Row],[OrderID]],Table3[[#All],[OrderID]],Table3[[#All],[CustomerID]])</f>
        <v>1</v>
      </c>
      <c r="J131" t="s">
        <v>9</v>
      </c>
      <c r="K131" t="s">
        <v>10</v>
      </c>
      <c r="L131" t="s">
        <v>11</v>
      </c>
      <c r="M131" t="s">
        <v>12</v>
      </c>
      <c r="N131" t="s">
        <v>13</v>
      </c>
      <c r="O131" t="s">
        <v>59</v>
      </c>
      <c r="P131" t="s">
        <v>14</v>
      </c>
      <c r="Q131" t="s">
        <v>15</v>
      </c>
    </row>
    <row r="132" spans="1:17">
      <c r="A132">
        <v>50</v>
      </c>
      <c r="B132" s="1">
        <v>44634</v>
      </c>
      <c r="C132">
        <v>180</v>
      </c>
      <c r="D132">
        <v>6</v>
      </c>
      <c r="E132" t="s">
        <v>56</v>
      </c>
      <c r="F132">
        <v>6</v>
      </c>
      <c r="G132">
        <v>2.75</v>
      </c>
      <c r="H132">
        <v>30</v>
      </c>
      <c r="I132" cm="1">
        <f t="array" ref="I132">_xlfn.XLOOKUP(Table72[[#This Row],[OrderID]],Table3[[#All],[OrderID]],Table3[[#All],[CustomerID]])</f>
        <v>4</v>
      </c>
      <c r="J132" t="s">
        <v>28</v>
      </c>
      <c r="K132" t="s">
        <v>29</v>
      </c>
      <c r="L132" t="s">
        <v>30</v>
      </c>
      <c r="M132" t="s">
        <v>31</v>
      </c>
      <c r="N132" t="s">
        <v>32</v>
      </c>
      <c r="O132" t="s">
        <v>60</v>
      </c>
      <c r="P132" t="s">
        <v>14</v>
      </c>
      <c r="Q132" t="s">
        <v>33</v>
      </c>
    </row>
  </sheetData>
  <phoneticPr fontId="2" type="noConversion"/>
  <conditionalFormatting sqref="E12:G12">
    <cfRule type="duplicateValues" dxfId="12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Kevin Stratvert</cp:lastModifiedBy>
  <cp:revision/>
  <dcterms:created xsi:type="dcterms:W3CDTF">2021-03-04T22:35:42Z</dcterms:created>
  <dcterms:modified xsi:type="dcterms:W3CDTF">2023-08-26T19:57:11Z</dcterms:modified>
  <cp:category/>
  <cp:contentStatus/>
</cp:coreProperties>
</file>